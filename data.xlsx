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https://colliers.sharepoint.com/teams/Asia_Research/China/Shared Documents/North/Beijing/工作中报告_持续更新中/实习生文档/Ron/0303系统数据/"/>
    </mc:Choice>
  </mc:AlternateContent>
  <xr:revisionPtr revIDLastSave="181" documentId="8_{B2126FFC-172F-4569-88A8-F2305D0C9028}" xr6:coauthVersionLast="47" xr6:coauthVersionMax="47" xr10:uidLastSave="{3BCBE7ED-FD60-4B58-BB6D-3D01552C9DF5}"/>
  <bookViews>
    <workbookView xWindow="-110" yWindow="-110" windowWidth="19420" windowHeight="10300" xr2:uid="{00000000-000D-0000-FFFF-FFFF00000000}"/>
  </bookViews>
  <sheets>
    <sheet name="Sheet1" sheetId="2" r:id="rId1"/>
  </sheets>
  <externalReferences>
    <externalReference r:id="rId2"/>
  </externalReferenc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6" i="2" l="1"/>
  <c r="F135" i="2"/>
  <c r="F106" i="2"/>
  <c r="F98" i="2"/>
  <c r="F97" i="2"/>
  <c r="F80" i="2"/>
</calcChain>
</file>

<file path=xl/sharedStrings.xml><?xml version="1.0" encoding="utf-8"?>
<sst xmlns="http://schemas.openxmlformats.org/spreadsheetml/2006/main" count="1598" uniqueCount="500">
  <si>
    <t>所在市</t>
  </si>
  <si>
    <t>所在区</t>
  </si>
  <si>
    <t>经纬度</t>
  </si>
  <si>
    <t>国贸写字楼1座</t>
  </si>
  <si>
    <t>CBD</t>
  </si>
  <si>
    <t>A</t>
  </si>
  <si>
    <t>1990 Q3</t>
  </si>
  <si>
    <t>北京市</t>
  </si>
  <si>
    <t>朝阳区</t>
  </si>
  <si>
    <t>116.458363,39.909473</t>
  </si>
  <si>
    <t>国贸写字楼2座</t>
  </si>
  <si>
    <t>1999 Q4</t>
  </si>
  <si>
    <t>116.460469,39.910838</t>
  </si>
  <si>
    <t>国贸大厦A座(三期)</t>
  </si>
  <si>
    <t>P</t>
  </si>
  <si>
    <t>2010 Q3</t>
  </si>
  <si>
    <t>Gold</t>
  </si>
  <si>
    <t>116.458154,39.912298</t>
  </si>
  <si>
    <t>国贸大厦B座(三期)</t>
  </si>
  <si>
    <t>2017 Q2</t>
  </si>
  <si>
    <t>116.460515,39.912938</t>
  </si>
  <si>
    <t>嘉里中心</t>
  </si>
  <si>
    <t>1998 Q4</t>
  </si>
  <si>
    <t>Platinum</t>
  </si>
  <si>
    <t>116.459630,39.914045</t>
  </si>
  <si>
    <t>新华保险大厦（NCI）</t>
  </si>
  <si>
    <t>2005 Q1</t>
  </si>
  <si>
    <t>116.446972,39.907680</t>
  </si>
  <si>
    <t>汇京双子座大厦</t>
  </si>
  <si>
    <t>2005 Q4</t>
  </si>
  <si>
    <t>116.448639,39.907750</t>
  </si>
  <si>
    <t>中环世贸中心D座</t>
  </si>
  <si>
    <t>116.456758,39.907509</t>
  </si>
  <si>
    <t>2006 Q2</t>
  </si>
  <si>
    <t>远洋国际中心A座</t>
  </si>
  <si>
    <t>2007 Q1</t>
  </si>
  <si>
    <t>116.491620,39.914782</t>
  </si>
  <si>
    <t>万通中心D座</t>
  </si>
  <si>
    <t>2007 Q2</t>
  </si>
  <si>
    <t>116.456973,39.919557</t>
  </si>
  <si>
    <t>华贸中心 (一座、二座)</t>
  </si>
  <si>
    <t>116.479186,39.909067</t>
  </si>
  <si>
    <t>华贸中心三座</t>
  </si>
  <si>
    <t>2008 Q1</t>
  </si>
  <si>
    <t>银泰中心</t>
  </si>
  <si>
    <t>116.459151,39.907698</t>
  </si>
  <si>
    <t>金地中心</t>
  </si>
  <si>
    <t>2007 Q3</t>
  </si>
  <si>
    <t>116.474482,39.909105</t>
  </si>
  <si>
    <t>世纪财富中心西塔</t>
  </si>
  <si>
    <t>116.455983,39.914081</t>
  </si>
  <si>
    <t>泰康金融大厦</t>
  </si>
  <si>
    <t>116.463305,39.920458</t>
  </si>
  <si>
    <t>乐成中心</t>
  </si>
  <si>
    <t>2008 Q3</t>
  </si>
  <si>
    <t>116.462324,39.894899</t>
  </si>
  <si>
    <t>环球金融中心</t>
  </si>
  <si>
    <t>2008 Q4</t>
  </si>
  <si>
    <t>116.459044,39.918732</t>
  </si>
  <si>
    <t>中海广场</t>
  </si>
  <si>
    <t>2009 Q2</t>
  </si>
  <si>
    <t>116.456420,39.910934</t>
  </si>
  <si>
    <t>PICC大厦</t>
  </si>
  <si>
    <t>2009 Q4</t>
  </si>
  <si>
    <t>远洋光华国际ABC座-远洋自持</t>
  </si>
  <si>
    <t>116.454438,39.915409</t>
  </si>
  <si>
    <t>远洋光华国际AB座-纺织厂</t>
  </si>
  <si>
    <t>116.454354,39.916048</t>
  </si>
  <si>
    <t>2011 Q1</t>
  </si>
  <si>
    <t>北京侨福芳草地</t>
  </si>
  <si>
    <t>2011 Q4</t>
  </si>
  <si>
    <t>116.449285,39.919803</t>
  </si>
  <si>
    <t xml:space="preserve">财富金融中心（FFC） </t>
  </si>
  <si>
    <t>2013 Q4</t>
  </si>
  <si>
    <t>116.460552,39.917729</t>
  </si>
  <si>
    <t>远洋国际中心二期</t>
  </si>
  <si>
    <t>2014 Q3</t>
  </si>
  <si>
    <t>116.491350,39.914073</t>
  </si>
  <si>
    <t>英皇集团中心</t>
  </si>
  <si>
    <t>2017 Q1</t>
  </si>
  <si>
    <t>116.444738,39.907772</t>
  </si>
  <si>
    <t>2019 Q1</t>
  </si>
  <si>
    <t>西城区</t>
  </si>
  <si>
    <t>北京国际俱乐部二期（C座）</t>
  </si>
  <si>
    <t>2019 Q3</t>
  </si>
  <si>
    <t>正大中心</t>
  </si>
  <si>
    <t>116.467852,39.912578</t>
  </si>
  <si>
    <t>众秀大厦-资管公司部分</t>
  </si>
  <si>
    <t>116.464667,39.912919</t>
  </si>
  <si>
    <t>众秀大厦-清华自己租赁部分</t>
  </si>
  <si>
    <t>2019Q4</t>
  </si>
  <si>
    <t>中信大厦</t>
  </si>
  <si>
    <t>116.466276,39.912916</t>
  </si>
  <si>
    <t>三星大厦 （中区+低区）</t>
  </si>
  <si>
    <t>三星大厦（高区 CBD管委会）</t>
  </si>
  <si>
    <t>宝钢大厦</t>
  </si>
  <si>
    <t>116.446022,39.907700</t>
  </si>
  <si>
    <t>泰康集团大厦</t>
  </si>
  <si>
    <t>2021 Q2</t>
  </si>
  <si>
    <t>116.467692,39.911215</t>
  </si>
  <si>
    <t>116.491500,39.922075</t>
  </si>
  <si>
    <t>阳光金融中心</t>
  </si>
  <si>
    <t>116.462922,39.912017</t>
  </si>
  <si>
    <t>大家保险大厦B座</t>
  </si>
  <si>
    <t>116.454917,39.907768</t>
  </si>
  <si>
    <t>东城商务区</t>
  </si>
  <si>
    <t>1996 Q?</t>
  </si>
  <si>
    <t>东城区</t>
  </si>
  <si>
    <t>116.429908,39.907040</t>
  </si>
  <si>
    <t>1999 Q2</t>
  </si>
  <si>
    <t>116.434079,39.912909</t>
  </si>
  <si>
    <t>东方广场西区</t>
  </si>
  <si>
    <t>2000 Q2</t>
  </si>
  <si>
    <t>东方广场东区</t>
  </si>
  <si>
    <t>2001 Q2</t>
  </si>
  <si>
    <t>东方广场中区</t>
  </si>
  <si>
    <t>2002 Q4</t>
  </si>
  <si>
    <t>金宝大厦</t>
  </si>
  <si>
    <t>2005 Q2</t>
  </si>
  <si>
    <t>116.419957,39.916098</t>
  </si>
  <si>
    <t>中青旅大厦</t>
  </si>
  <si>
    <t>2006 Q1</t>
  </si>
  <si>
    <t>116.432560,39.937841</t>
  </si>
  <si>
    <t>2007 Q?</t>
  </si>
  <si>
    <t>五矿广场</t>
  </si>
  <si>
    <t>116.432842,39.931558</t>
  </si>
  <si>
    <t>民生金融中心</t>
  </si>
  <si>
    <t>116.419886,39.907198</t>
  </si>
  <si>
    <t>116.432541,39.938437</t>
  </si>
  <si>
    <t>北京来福士中心</t>
  </si>
  <si>
    <t>燕莎</t>
  </si>
  <si>
    <t>116.432683,39.939697</t>
  </si>
  <si>
    <t>凯恒中心</t>
  </si>
  <si>
    <t>116.432884,39.923518</t>
  </si>
  <si>
    <t>天润财富中心</t>
  </si>
  <si>
    <t>2016 Q4</t>
  </si>
  <si>
    <t>116.427741,39.911344</t>
  </si>
  <si>
    <t>哈德门广场东塔</t>
  </si>
  <si>
    <t>2017 Q3</t>
  </si>
  <si>
    <t>116.421270,39.899689</t>
  </si>
  <si>
    <t>哈德门广场西塔</t>
  </si>
  <si>
    <t>2018 Q1</t>
  </si>
  <si>
    <t>116.420148,39.899582</t>
  </si>
  <si>
    <t>2018 Q3</t>
  </si>
  <si>
    <t>116.408915,39.952121</t>
  </si>
  <si>
    <t>泓晟国际中心</t>
  </si>
  <si>
    <t>116.432895,39.930644</t>
  </si>
  <si>
    <t>信达中心</t>
  </si>
  <si>
    <t>116.437934,39.942477</t>
  </si>
  <si>
    <t>远洋大厦</t>
  </si>
  <si>
    <t>金融街</t>
  </si>
  <si>
    <t>2000 Q1</t>
  </si>
  <si>
    <t>英蓝国际金融中心</t>
  </si>
  <si>
    <t>2005 Q3</t>
  </si>
  <si>
    <t>116.357825,39.920574</t>
  </si>
  <si>
    <t>盈泰商务中心</t>
  </si>
  <si>
    <t>116.360331,39.911403</t>
  </si>
  <si>
    <t>长安兴融中心-4号楼</t>
  </si>
  <si>
    <t>2006 Q4</t>
  </si>
  <si>
    <t>116.361343,39.904939</t>
  </si>
  <si>
    <t>凯晨世贸中心</t>
  </si>
  <si>
    <t>116.364708,39.906123</t>
  </si>
  <si>
    <t>卓著中心</t>
  </si>
  <si>
    <t>116.361866,39.918222</t>
  </si>
  <si>
    <t>中海国际中心</t>
  </si>
  <si>
    <t>泰康国际大厦</t>
  </si>
  <si>
    <t>2007 Q4</t>
  </si>
  <si>
    <t>116.362589,39.917659</t>
  </si>
  <si>
    <t>116.365214,39.916988</t>
  </si>
  <si>
    <t>金融街中心</t>
  </si>
  <si>
    <t>116.358533,39.919136</t>
  </si>
  <si>
    <t>太平洋保险大厦</t>
  </si>
  <si>
    <t>2010 Q4</t>
  </si>
  <si>
    <t>116.366067,39.918211</t>
  </si>
  <si>
    <t>丰铭国际大厦</t>
  </si>
  <si>
    <t>2013 Q1</t>
  </si>
  <si>
    <t>116.367302,39.918021</t>
  </si>
  <si>
    <t>锦什坊街叁拾伍号</t>
  </si>
  <si>
    <t>2015 Q1</t>
  </si>
  <si>
    <t>月坛金融中心E座</t>
  </si>
  <si>
    <t>2016 Q?</t>
  </si>
  <si>
    <t>金嘉大厦</t>
  </si>
  <si>
    <t>116.360000,39.921086</t>
  </si>
  <si>
    <t>新时代大厦</t>
  </si>
  <si>
    <t>2007Q3</t>
  </si>
  <si>
    <t>海淀区</t>
  </si>
  <si>
    <t>航宇大厦B座</t>
  </si>
  <si>
    <t xml:space="preserve">A </t>
  </si>
  <si>
    <t>116.360324,39.915083</t>
  </si>
  <si>
    <t>盈科中心（AB座）</t>
  </si>
  <si>
    <t>1999 Q1</t>
  </si>
  <si>
    <t>现代汽车大厦</t>
  </si>
  <si>
    <t>2000 Q3</t>
  </si>
  <si>
    <t>116.462588,39.956004</t>
  </si>
  <si>
    <t>佳程广场</t>
  </si>
  <si>
    <t>116.458304,39.956475</t>
  </si>
  <si>
    <t>平安国际金融中心</t>
  </si>
  <si>
    <t>116.460091,39.949780</t>
  </si>
  <si>
    <t>凤凰置地广场A座</t>
  </si>
  <si>
    <t>2010 Q1</t>
  </si>
  <si>
    <t>嘉铭中心</t>
  </si>
  <si>
    <t>116.460537,39.927996</t>
  </si>
  <si>
    <t>凤凰置地广场F&amp;H座</t>
  </si>
  <si>
    <t>2011 Q3</t>
  </si>
  <si>
    <t>2012 Q1</t>
  </si>
  <si>
    <t>116.462524,39.927680</t>
  </si>
  <si>
    <t>润世中心</t>
  </si>
  <si>
    <t>亮马桥外交办公大楼</t>
  </si>
  <si>
    <t>2014 Q4</t>
  </si>
  <si>
    <t>116.463427,39.950882</t>
  </si>
  <si>
    <t>冠捷大厦</t>
  </si>
  <si>
    <t>国航世纪大厦</t>
  </si>
  <si>
    <t>2016 Q1</t>
  </si>
  <si>
    <t>116.462344,39.955026</t>
  </si>
  <si>
    <t>启皓北京</t>
  </si>
  <si>
    <t>2016 Q2</t>
  </si>
  <si>
    <t>116.456336,39.947734</t>
  </si>
  <si>
    <t>2015 Q?</t>
  </si>
  <si>
    <t>骏豪中央公园A1</t>
  </si>
  <si>
    <t>116.477131,39.932174</t>
  </si>
  <si>
    <t>116.463186,39.960903</t>
  </si>
  <si>
    <t>哈银国际中心</t>
  </si>
  <si>
    <t>116.463929,39.957632</t>
  </si>
  <si>
    <t>融科资讯中心A座</t>
  </si>
  <si>
    <t>中关村</t>
  </si>
  <si>
    <t>2002 Q1</t>
  </si>
  <si>
    <t>116.325236,39.984261</t>
  </si>
  <si>
    <t>融科资讯中心C座</t>
  </si>
  <si>
    <t>2004 Q3</t>
  </si>
  <si>
    <t>116.326695,39.983200</t>
  </si>
  <si>
    <t>理想国际大厦</t>
  </si>
  <si>
    <t>2004 Q4</t>
  </si>
  <si>
    <t>116.310060,39.984499</t>
  </si>
  <si>
    <t>中国电子大厦</t>
  </si>
  <si>
    <t>116.311772,39.979518</t>
  </si>
  <si>
    <t>中钢国际广场</t>
  </si>
  <si>
    <t>欧美汇大厦</t>
  </si>
  <si>
    <t>116.312645,39.980358</t>
  </si>
  <si>
    <t>互联网金融中心</t>
  </si>
  <si>
    <t>116.313133,39.979318</t>
  </si>
  <si>
    <t>116.351564,39.977324</t>
  </si>
  <si>
    <t>融科资讯中心B座</t>
  </si>
  <si>
    <t>116.326467,39.984666</t>
  </si>
  <si>
    <t>中航广场一期</t>
  </si>
  <si>
    <t>2015 Q3</t>
  </si>
  <si>
    <t>116.328911,39.972012</t>
  </si>
  <si>
    <t>保利蓟门壹号</t>
  </si>
  <si>
    <t>116.352480,39.973826</t>
  </si>
  <si>
    <t>卫通大厦</t>
  </si>
  <si>
    <t>116.328764,39.977064</t>
  </si>
  <si>
    <t>中关村资本大厦</t>
  </si>
  <si>
    <t>2017 Q?</t>
  </si>
  <si>
    <t>116.337732,39.957118</t>
  </si>
  <si>
    <t>鼎好DH3-A座</t>
  </si>
  <si>
    <t>116.314195,39.984395</t>
  </si>
  <si>
    <t>西海国际中心</t>
  </si>
  <si>
    <t>116.308831,39.963826</t>
  </si>
  <si>
    <t>北京理工大学国防科技园（理工大学）</t>
  </si>
  <si>
    <t>116.310850,39.960914</t>
  </si>
  <si>
    <t>清华科技园-火炬大厦</t>
  </si>
  <si>
    <t>116.330709,39.994513</t>
  </si>
  <si>
    <t>搜狐网络大厦</t>
  </si>
  <si>
    <t>116.332112,39.993716</t>
  </si>
  <si>
    <t>中国技术交易大厦</t>
  </si>
  <si>
    <t>116.307531,39.984256</t>
  </si>
  <si>
    <t>鼎好DH3-B/C座</t>
  </si>
  <si>
    <t>116.313918,39.983756</t>
  </si>
  <si>
    <t>望京-酒仙桥</t>
  </si>
  <si>
    <t>2008 Q2</t>
  </si>
  <si>
    <t>116.482346,39.994131</t>
  </si>
  <si>
    <t>颐堤港</t>
  </si>
  <si>
    <t>116.491318,39.969858</t>
  </si>
  <si>
    <t>浦项中心</t>
  </si>
  <si>
    <t>116.488747,39.998971</t>
  </si>
  <si>
    <t>诺金写字楼</t>
  </si>
  <si>
    <t>2015 Q2</t>
  </si>
  <si>
    <t>116.481365,39.977279</t>
  </si>
  <si>
    <t>保利国际广场1座</t>
  </si>
  <si>
    <t>116.491650,39.996348</t>
  </si>
  <si>
    <t>116.475014,39.991254</t>
  </si>
  <si>
    <t>金辉大厦</t>
  </si>
  <si>
    <t>2016 Q3</t>
  </si>
  <si>
    <t>116.488731,40.002813</t>
  </si>
  <si>
    <t>融新科技中心</t>
  </si>
  <si>
    <t>116.468274,40.021752</t>
  </si>
  <si>
    <t>2018 Q2</t>
  </si>
  <si>
    <t>116.491357,40.000633</t>
  </si>
  <si>
    <t>东湖国际中心</t>
  </si>
  <si>
    <t>116.464185,40.008174</t>
  </si>
  <si>
    <t>东方金融中心</t>
  </si>
  <si>
    <t>116.477237,39.975314</t>
  </si>
  <si>
    <t>116.491812,39.999867</t>
  </si>
  <si>
    <t>116.486156,40.000471</t>
  </si>
  <si>
    <t>环球贸易中心A、B座</t>
  </si>
  <si>
    <t>亚奥</t>
  </si>
  <si>
    <t>116.409907,39.968014</t>
  </si>
  <si>
    <t>环球贸易中心C、D座</t>
  </si>
  <si>
    <t>116.410104,39.967172</t>
  </si>
  <si>
    <t>环球贸易中心E座</t>
  </si>
  <si>
    <t>116.410736,39.966329</t>
  </si>
  <si>
    <t>环球贸易中心F座</t>
  </si>
  <si>
    <t>116.410693,39.965497</t>
  </si>
  <si>
    <t>北辰时代大厦</t>
  </si>
  <si>
    <t>116.406400,39.991325</t>
  </si>
  <si>
    <t>北辰世纪中心</t>
  </si>
  <si>
    <t>116.387925,40.000072</t>
  </si>
  <si>
    <t>国家会议中心</t>
  </si>
  <si>
    <t>2009 Q?</t>
  </si>
  <si>
    <t>116.389432,40.002901</t>
  </si>
  <si>
    <t>2010 Q2</t>
  </si>
  <si>
    <t>116.386738,39.989441</t>
  </si>
  <si>
    <t>116.404641,39.977864</t>
  </si>
  <si>
    <t>中建财富国际中心</t>
  </si>
  <si>
    <t>116.406354,39.979452</t>
  </si>
  <si>
    <t>2017 Q4</t>
  </si>
  <si>
    <t>城奥大厦</t>
  </si>
  <si>
    <t>116.404676,39.979906</t>
  </si>
  <si>
    <t>亚洲金融大厦CDE座</t>
  </si>
  <si>
    <t>116.389689,40.008393</t>
  </si>
  <si>
    <t>北投投资大厦</t>
  </si>
  <si>
    <t>116.402757,39.978278</t>
  </si>
  <si>
    <t>北辰中心</t>
  </si>
  <si>
    <t>116.387447,40.004252</t>
  </si>
  <si>
    <t>聚杰金融大厦</t>
  </si>
  <si>
    <t>丽泽</t>
  </si>
  <si>
    <t>丰台区</t>
  </si>
  <si>
    <t>116.333676,39.867037</t>
  </si>
  <si>
    <t>汇亚大厦</t>
  </si>
  <si>
    <t>116.334216,39.866088</t>
  </si>
  <si>
    <t>铭丰中心</t>
  </si>
  <si>
    <t>2019 Q2</t>
  </si>
  <si>
    <t>116.334611,39.867173</t>
  </si>
  <si>
    <t>丽泽SOHO</t>
  </si>
  <si>
    <t>116.330776,39.866976</t>
  </si>
  <si>
    <t>青海金融大厦</t>
  </si>
  <si>
    <t>2019 Q4</t>
  </si>
  <si>
    <t>116.322521,39.864006</t>
  </si>
  <si>
    <t>晋商联合大厦</t>
  </si>
  <si>
    <t>116.326415,39.862975</t>
  </si>
  <si>
    <t>丽泽平安金融中心</t>
  </si>
  <si>
    <t>116.326290,39.866398</t>
  </si>
  <si>
    <t>远洋锐中心</t>
  </si>
  <si>
    <t>116.327628,39.865240</t>
  </si>
  <si>
    <t>平安幸福中心</t>
  </si>
  <si>
    <t>116.322709,39.867060</t>
  </si>
  <si>
    <t>鼎兴大厦</t>
  </si>
  <si>
    <t>116.326989,39.864258</t>
  </si>
  <si>
    <t>116.320124,39.866201</t>
  </si>
  <si>
    <t>国家金融信息大厦</t>
  </si>
  <si>
    <t>116.328244,39.867102</t>
  </si>
  <si>
    <t>中海地产广场</t>
  </si>
  <si>
    <t>其他</t>
  </si>
  <si>
    <t>116.389515,39.870365</t>
  </si>
  <si>
    <t>紫檀大厦</t>
  </si>
  <si>
    <t>116.541798,39.912550</t>
  </si>
  <si>
    <t>中国太平金融中心</t>
  </si>
  <si>
    <t>116.380738,39.888715</t>
  </si>
  <si>
    <t>中融信托大厦</t>
  </si>
  <si>
    <t>2018 Q4</t>
  </si>
  <si>
    <t>116.373533,39.887097</t>
  </si>
  <si>
    <t>华熙Live中心</t>
  </si>
  <si>
    <t>116.282733,39.912370</t>
  </si>
  <si>
    <t>航空科技大厦</t>
  </si>
  <si>
    <t>116.419182,40.027232</t>
  </si>
  <si>
    <t>文化创意大厦</t>
  </si>
  <si>
    <t>116.416551,40.038650</t>
  </si>
  <si>
    <t>中海大厦C、D座</t>
  </si>
  <si>
    <t>2020 Q4</t>
  </si>
  <si>
    <t>Silver</t>
  </si>
  <si>
    <t>石景山区</t>
  </si>
  <si>
    <t>116.178037,39.908404</t>
  </si>
  <si>
    <t>中海大厦B座</t>
  </si>
  <si>
    <t>116.178591,39.908421</t>
  </si>
  <si>
    <t>中海财富中心</t>
  </si>
  <si>
    <t>泰禾长安中心B座</t>
  </si>
  <si>
    <t>116.220038,39.904650</t>
  </si>
  <si>
    <t>新动力金融科技中心</t>
  </si>
  <si>
    <t>116.339650,39.937641</t>
  </si>
  <si>
    <t>京印国际中心</t>
  </si>
  <si>
    <t>2023 Q2</t>
  </si>
  <si>
    <t>116.375727,39.868418</t>
  </si>
  <si>
    <t>丽泽天地</t>
  </si>
  <si>
    <t>116.305524,39.867668</t>
  </si>
  <si>
    <t>有研科技创新中心</t>
  </si>
  <si>
    <t>翔鹰大厦</t>
  </si>
  <si>
    <t>116.191846,39.900493</t>
  </si>
  <si>
    <t>北京金融科技中心</t>
  </si>
  <si>
    <t>116.340574,39.936719</t>
  </si>
  <si>
    <t>金唐中心</t>
  </si>
  <si>
    <t>116.306186,39.866284</t>
  </si>
  <si>
    <t>中海金融中心T1&amp;T4</t>
  </si>
  <si>
    <t>远洋乐堤港二座</t>
  </si>
  <si>
    <t>通州</t>
  </si>
  <si>
    <t>通州区</t>
  </si>
  <si>
    <t>116.656734,39.923819</t>
  </si>
  <si>
    <t>世界侨商中心2号楼（侨商）</t>
  </si>
  <si>
    <t>116.658488,39.921808</t>
  </si>
  <si>
    <t>世界侨商中心3号楼（侨商）</t>
  </si>
  <si>
    <t>116.660010,39.921818</t>
  </si>
  <si>
    <t>保利大都汇（4#2#1#）</t>
  </si>
  <si>
    <t>116.657902,39.915044</t>
  </si>
  <si>
    <t>116.686498,39.904764</t>
  </si>
  <si>
    <t>复地金融中心B座（南塔）</t>
  </si>
  <si>
    <t>116.678255,39.908680</t>
  </si>
  <si>
    <t>Linda</t>
  </si>
  <si>
    <t>Monica</t>
  </si>
  <si>
    <t>Jordan</t>
  </si>
  <si>
    <t>Leo Liu</t>
  </si>
  <si>
    <t>Lily</t>
  </si>
  <si>
    <t>序号</t>
  </si>
  <si>
    <t>总面积</t>
  </si>
  <si>
    <t>写字楼名称</t>
  </si>
  <si>
    <t>子市场</t>
  </si>
  <si>
    <t>写字楼等级</t>
  </si>
  <si>
    <t>竣工时间</t>
  </si>
  <si>
    <t>USER</t>
  </si>
  <si>
    <t>净有效租金</t>
  </si>
  <si>
    <t>空置率</t>
  </si>
  <si>
    <t>空置面积</t>
  </si>
  <si>
    <t>LEEDS</t>
    <phoneticPr fontId="6" type="noConversion"/>
  </si>
  <si>
    <t>RSH</t>
  </si>
  <si>
    <t>Iris</t>
  </si>
  <si>
    <t>Jayden</t>
  </si>
  <si>
    <t>中国人寿中心</t>
    <phoneticPr fontId="6" type="noConversion"/>
  </si>
  <si>
    <t>朝阳区</t>
    <phoneticPr fontId="6" type="noConversion"/>
  </si>
  <si>
    <t>116.469030,39.911173</t>
    <phoneticPr fontId="6" type="noConversion"/>
  </si>
  <si>
    <t>116.359101,39.916286</t>
    <phoneticPr fontId="6" type="noConversion"/>
  </si>
  <si>
    <t>中关村东升科技园·学北园</t>
    <phoneticPr fontId="6" type="noConversion"/>
  </si>
  <si>
    <t>116.406387,39.981515</t>
    <phoneticPr fontId="6" type="noConversion"/>
  </si>
  <si>
    <t>116.406387,39.980615</t>
    <phoneticPr fontId="6" type="noConversion"/>
  </si>
  <si>
    <t>合景国际金融广场（4B)</t>
    <phoneticPr fontId="6" type="noConversion"/>
  </si>
  <si>
    <t>116.680295,39.907589</t>
    <phoneticPr fontId="6" type="noConversion"/>
  </si>
  <si>
    <t>116.358503,39.931864</t>
    <phoneticPr fontId="6" type="noConversion"/>
  </si>
  <si>
    <t>116.362230,39.920558</t>
    <phoneticPr fontId="6" type="noConversion"/>
  </si>
  <si>
    <t>116.313304,39.982116</t>
    <phoneticPr fontId="6" type="noConversion"/>
  </si>
  <si>
    <t>116.320807,39.956309</t>
    <phoneticPr fontId="6" type="noConversion"/>
  </si>
  <si>
    <t>116.319635,39.956309</t>
    <phoneticPr fontId="6" type="noConversion"/>
  </si>
  <si>
    <t>116.323984,39.958472</t>
    <phoneticPr fontId="6" type="noConversion"/>
  </si>
  <si>
    <t>116.377078,39.888674</t>
    <phoneticPr fontId="6" type="noConversion"/>
  </si>
  <si>
    <t>116.371113,39.967322</t>
    <phoneticPr fontId="6" type="noConversion"/>
  </si>
  <si>
    <t>116.459281,39.960483</t>
  </si>
  <si>
    <t>116.458823,39.932631</t>
  </si>
  <si>
    <t>116.43926,39.909474</t>
    <phoneticPr fontId="6" type="noConversion"/>
  </si>
  <si>
    <t>116.435881,39.919317</t>
    <phoneticPr fontId="6" type="noConversion"/>
  </si>
  <si>
    <t>116.429644,39.906833</t>
    <phoneticPr fontId="6" type="noConversion"/>
  </si>
  <si>
    <t>116.464627,39.912332</t>
    <phoneticPr fontId="6" type="noConversion"/>
  </si>
  <si>
    <t>116.464467,39.912049</t>
  </si>
  <si>
    <t>116.464674,39.912865</t>
    <phoneticPr fontId="6" type="noConversion"/>
  </si>
  <si>
    <t>116.460321,39.906941</t>
    <phoneticPr fontId="6" type="noConversion"/>
  </si>
  <si>
    <t>116.454891,39.960979</t>
  </si>
  <si>
    <t>116.456886,39.962611</t>
  </si>
  <si>
    <t>116.445694,39.970256</t>
  </si>
  <si>
    <t>116.491439,39.914113</t>
  </si>
  <si>
    <t>116.412649,39.909443</t>
  </si>
  <si>
    <t>116.416316,39.909562</t>
  </si>
  <si>
    <t>116.414436,39.909474</t>
  </si>
  <si>
    <t>116.365174,40.004451</t>
  </si>
  <si>
    <t>116.351227,40.018578</t>
  </si>
  <si>
    <t>116.406051,39.977725</t>
  </si>
  <si>
    <t>116.47137,39.955305</t>
  </si>
  <si>
    <t>116.357285,39.93162</t>
  </si>
  <si>
    <t>116.353911,39.915055</t>
  </si>
  <si>
    <t>116.163151,39.922934</t>
  </si>
  <si>
    <t>116.458326,39.932928</t>
  </si>
  <si>
    <t>116.456769,39.907882</t>
  </si>
  <si>
    <t>新光大中心5A</t>
  </si>
  <si>
    <t>116.658956,39.916829</t>
  </si>
  <si>
    <t>未知</t>
  </si>
  <si>
    <t>116.452709,39.907549</t>
  </si>
  <si>
    <t>WWT世界财富中心</t>
  </si>
  <si>
    <t>国际财源中心（IFC）</t>
  </si>
  <si>
    <t>国寿金融中心</t>
  </si>
  <si>
    <t>时尚万科中心</t>
  </si>
  <si>
    <t>中粮广场（AB座）</t>
  </si>
  <si>
    <t>华润大厦</t>
  </si>
  <si>
    <t>居然大厦</t>
  </si>
  <si>
    <t>中粮广场C座</t>
  </si>
  <si>
    <t>玖安广场</t>
  </si>
  <si>
    <t>兆泰国际中心（AB座）</t>
  </si>
  <si>
    <t>丰融国际大厦</t>
  </si>
  <si>
    <t>友邦金融中心</t>
  </si>
  <si>
    <t>盈科中心C座</t>
  </si>
  <si>
    <t>华瑞大厦</t>
  </si>
  <si>
    <t>霄云路33号</t>
  </si>
  <si>
    <t>致真大厦</t>
  </si>
  <si>
    <t>丽金智地中心西塔</t>
  </si>
  <si>
    <t>蚂蚁T空间（丽金智地中心东塔）</t>
  </si>
  <si>
    <t>和泓大厦南塔</t>
  </si>
  <si>
    <t>中关村东升科技园三期·东畔创新中心</t>
  </si>
  <si>
    <t>利星行广场</t>
  </si>
  <si>
    <t>利星行中心</t>
  </si>
  <si>
    <t>中航产融大厦</t>
  </si>
  <si>
    <t>阿里巴巴望京A座</t>
  </si>
  <si>
    <t>富泽人寿大厦</t>
  </si>
  <si>
    <t>钰珵大厦</t>
  </si>
  <si>
    <t>奥南五号大厦A座</t>
  </si>
  <si>
    <t>招商局广场</t>
  </si>
  <si>
    <t>奥南五号大厦B座</t>
  </si>
  <si>
    <t>丽金中心（AB栋）</t>
  </si>
  <si>
    <t>通州C01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</si>
</sst>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3"/>
      <charset val="134"/>
      <scheme val="minor"/>
    </font>
    <font>
      <sz val="11"/>
      <color rgb="FFFF0000"/>
      <name val="宋体"/>
      <family val="3"/>
      <charset val="134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14">
    <xf numFmtId="0" fontId="0" fillId="0" borderId="0" xfId="0"/>
    <xf numFmtId="0" fontId="5" fillId="0" borderId="0" xfId="0" applyFont="1"/>
    <xf numFmtId="0" fontId="0" fillId="2" borderId="0" xfId="0" applyFill="1"/>
    <xf numFmtId="0" fontId="0" fillId="0" borderId="1" xfId="0" applyBorder="1"/>
    <xf numFmtId="0" fontId="5" fillId="0" borderId="1" xfId="0" applyFont="1" applyBorder="1"/>
    <xf numFmtId="0" fontId="1" fillId="0" borderId="1" xfId="0" applyFont="1" applyBorder="1"/>
    <xf numFmtId="0" fontId="9" fillId="0" borderId="1" xfId="0" applyFont="1" applyBorder="1"/>
    <xf numFmtId="0" fontId="7" fillId="0" borderId="1" xfId="0" applyFont="1" applyBorder="1"/>
    <xf numFmtId="0" fontId="2" fillId="0" borderId="1" xfId="0" applyFont="1" applyBorder="1"/>
    <xf numFmtId="0" fontId="5" fillId="2" borderId="1" xfId="0" applyFont="1" applyFill="1" applyBorder="1"/>
    <xf numFmtId="0" fontId="7" fillId="2" borderId="1" xfId="0" applyFont="1" applyFill="1" applyBorder="1"/>
    <xf numFmtId="0" fontId="3" fillId="0" borderId="1" xfId="0" applyFont="1" applyBorder="1"/>
    <xf numFmtId="0" fontId="9" fillId="2" borderId="1" xfId="0" applyFont="1" applyFill="1" applyBorder="1"/>
    <xf numFmtId="0" fontId="8" fillId="0" borderId="1" xfId="0" applyFont="1" applyBorder="1"/>
  </cellXfs>
  <cellStyles count="2">
    <cellStyle name="Normal" xfId="0" builtinId="0"/>
    <cellStyle name="常规 2" xfId="1" xr:uid="{81D4EE7A-49F9-4559-B92D-CA7C8AC626D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olliers.sharepoint.com/teams/Asia_Research/China/Shared%20Documents/North/Beijing/&#24037;&#20316;&#20013;&#25253;&#21578;_&#25345;&#32493;&#26356;&#26032;&#20013;/&#23454;&#20064;&#29983;&#25991;&#26723;/Ron/&#25968;&#25454;&#24211;-&#20445;&#23494;/&#23395;&#24230;&#25968;&#25454;/Beijing%20Grade%20A%20Office%20Survey%20Sheet_25%20Q4_&#20445;&#23494;.xlsx" TargetMode="External"/><Relationship Id="rId1" Type="http://schemas.openxmlformats.org/officeDocument/2006/relationships/externalLinkPath" Target="/teams/Asia_Research/China/Shared%20Documents/North/Beijing/&#24037;&#20316;&#20013;&#25253;&#21578;_&#25345;&#32493;&#26356;&#26032;&#20013;/&#23454;&#20064;&#29983;&#25991;&#26723;/Ron/&#25968;&#25454;&#24211;-&#20445;&#23494;/&#23395;&#24230;&#25968;&#25454;/Beijing%20Grade%20A%20Office%20Survey%20Sheet_25%20Q4_&#20445;&#2349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radeA+Prime A"/>
      <sheetName val="Sheet1"/>
      <sheetName val="future supply"/>
      <sheetName val="Sheet2"/>
      <sheetName val="未来供应核对"/>
    </sheetNames>
    <sheetDataSet>
      <sheetData sheetId="0">
        <row r="1">
          <cell r="A1" t="str">
            <v xml:space="preserve">Project Name CN </v>
          </cell>
          <cell r="B1" t="str">
            <v>Grade</v>
          </cell>
          <cell r="C1" t="str">
            <v>Completion Year</v>
          </cell>
        </row>
        <row r="2">
          <cell r="A2" t="str">
            <v>项目名称</v>
          </cell>
          <cell r="B2" t="str">
            <v>楼宇级别</v>
          </cell>
          <cell r="C2" t="str">
            <v>竣备年份</v>
          </cell>
        </row>
        <row r="4">
          <cell r="A4" t="str">
            <v>CBD</v>
          </cell>
        </row>
        <row r="5">
          <cell r="A5" t="str">
            <v>国贸写字楼1座</v>
          </cell>
          <cell r="B5" t="str">
            <v>A</v>
          </cell>
          <cell r="C5">
            <v>1990</v>
          </cell>
        </row>
        <row r="6">
          <cell r="A6" t="str">
            <v>国贸写字楼2座</v>
          </cell>
          <cell r="B6" t="str">
            <v>A</v>
          </cell>
          <cell r="C6">
            <v>1999</v>
          </cell>
        </row>
        <row r="7">
          <cell r="A7" t="str">
            <v>国贸大厦A座(三期)</v>
          </cell>
          <cell r="B7" t="str">
            <v>P</v>
          </cell>
          <cell r="C7">
            <v>2010</v>
          </cell>
        </row>
        <row r="8">
          <cell r="A8" t="str">
            <v>国贸大厦B座(三期)</v>
          </cell>
          <cell r="B8" t="str">
            <v>P</v>
          </cell>
          <cell r="C8">
            <v>2017</v>
          </cell>
        </row>
        <row r="9">
          <cell r="A9" t="str">
            <v>嘉里中心</v>
          </cell>
          <cell r="B9" t="str">
            <v>A</v>
          </cell>
          <cell r="C9">
            <v>1998</v>
          </cell>
        </row>
        <row r="10">
          <cell r="A10" t="str">
            <v>新华保险大厦（NCI）</v>
          </cell>
          <cell r="B10" t="str">
            <v>A</v>
          </cell>
          <cell r="C10">
            <v>2005</v>
          </cell>
        </row>
        <row r="11">
          <cell r="A11" t="str">
            <v>汇京双子座大厦</v>
          </cell>
          <cell r="B11" t="str">
            <v>A</v>
          </cell>
          <cell r="C11">
            <v>2005</v>
          </cell>
        </row>
        <row r="12">
          <cell r="A12" t="str">
            <v>中环世贸中心D座</v>
          </cell>
          <cell r="B12" t="str">
            <v>A</v>
          </cell>
          <cell r="C12">
            <v>2006</v>
          </cell>
        </row>
        <row r="13">
          <cell r="A13" t="str">
            <v>世界财富大厦（福佳大厦）（SK大厦）</v>
          </cell>
          <cell r="B13" t="str">
            <v>A</v>
          </cell>
          <cell r="C13">
            <v>2006</v>
          </cell>
        </row>
        <row r="14">
          <cell r="A14" t="str">
            <v>远洋国际中心A座</v>
          </cell>
          <cell r="B14" t="str">
            <v>A</v>
          </cell>
          <cell r="C14">
            <v>2007</v>
          </cell>
        </row>
        <row r="15">
          <cell r="A15" t="str">
            <v>万通中心D座</v>
          </cell>
          <cell r="B15" t="str">
            <v>A</v>
          </cell>
          <cell r="C15">
            <v>2007</v>
          </cell>
        </row>
        <row r="16">
          <cell r="A16" t="str">
            <v>华贸中心 (一座、二座)</v>
          </cell>
          <cell r="B16" t="str">
            <v>P</v>
          </cell>
          <cell r="C16">
            <v>2007</v>
          </cell>
        </row>
        <row r="17">
          <cell r="A17" t="str">
            <v>华贸中心三座</v>
          </cell>
          <cell r="B17" t="str">
            <v>P</v>
          </cell>
          <cell r="C17">
            <v>2008</v>
          </cell>
        </row>
        <row r="18">
          <cell r="A18" t="str">
            <v>银泰中心</v>
          </cell>
          <cell r="B18" t="str">
            <v>P</v>
          </cell>
          <cell r="C18">
            <v>2007</v>
          </cell>
        </row>
        <row r="19">
          <cell r="A19" t="str">
            <v>金地中心</v>
          </cell>
          <cell r="B19" t="str">
            <v>A</v>
          </cell>
          <cell r="C19">
            <v>2007</v>
          </cell>
        </row>
        <row r="20">
          <cell r="A20" t="str">
            <v>世纪财富中心西塔</v>
          </cell>
          <cell r="B20" t="str">
            <v>A</v>
          </cell>
          <cell r="C20">
            <v>2007</v>
          </cell>
        </row>
        <row r="21">
          <cell r="A21" t="str">
            <v>泰康金融大厦</v>
          </cell>
          <cell r="B21" t="str">
            <v>A</v>
          </cell>
          <cell r="C21">
            <v>2008</v>
          </cell>
        </row>
        <row r="22">
          <cell r="A22" t="str">
            <v>乐成中心</v>
          </cell>
          <cell r="B22" t="str">
            <v>A</v>
          </cell>
          <cell r="C22">
            <v>2008</v>
          </cell>
        </row>
        <row r="23">
          <cell r="A23" t="str">
            <v>环球金融中心</v>
          </cell>
          <cell r="B23" t="str">
            <v>P</v>
          </cell>
          <cell r="C23">
            <v>2008</v>
          </cell>
        </row>
        <row r="24">
          <cell r="A24" t="str">
            <v>中海广场</v>
          </cell>
          <cell r="B24" t="str">
            <v>A</v>
          </cell>
          <cell r="C24">
            <v>2009</v>
          </cell>
        </row>
        <row r="25">
          <cell r="A25" t="str">
            <v>PICC大厦</v>
          </cell>
          <cell r="B25" t="str">
            <v>A</v>
          </cell>
          <cell r="C25">
            <v>2009</v>
          </cell>
        </row>
        <row r="26">
          <cell r="A26" t="str">
            <v>远洋光华国际ABC座-远洋自持</v>
          </cell>
          <cell r="B26" t="str">
            <v>A</v>
          </cell>
          <cell r="C26">
            <v>2009</v>
          </cell>
        </row>
        <row r="27">
          <cell r="A27" t="str">
            <v>远洋光华国际AB座-纺织厂</v>
          </cell>
          <cell r="B27" t="str">
            <v>A</v>
          </cell>
          <cell r="C27">
            <v>2009</v>
          </cell>
        </row>
        <row r="28">
          <cell r="A28" t="str">
            <v>财源国际中心（IFC）</v>
          </cell>
          <cell r="B28" t="str">
            <v>A</v>
          </cell>
          <cell r="C28">
            <v>2011</v>
          </cell>
        </row>
        <row r="29">
          <cell r="A29" t="str">
            <v>北京侨福芳草地</v>
          </cell>
          <cell r="B29" t="str">
            <v>P</v>
          </cell>
          <cell r="C29">
            <v>2011</v>
          </cell>
        </row>
        <row r="30">
          <cell r="A30" t="str">
            <v xml:space="preserve">财富金融中心（FFC） </v>
          </cell>
          <cell r="B30" t="str">
            <v>P</v>
          </cell>
          <cell r="C30">
            <v>2013</v>
          </cell>
        </row>
        <row r="31">
          <cell r="A31" t="str">
            <v>远洋国际中心二期</v>
          </cell>
          <cell r="B31" t="str">
            <v>A</v>
          </cell>
          <cell r="C31">
            <v>2014</v>
          </cell>
        </row>
        <row r="32">
          <cell r="A32" t="str">
            <v>英皇集团中心</v>
          </cell>
          <cell r="B32" t="str">
            <v>A</v>
          </cell>
          <cell r="C32">
            <v>2017</v>
          </cell>
        </row>
        <row r="33">
          <cell r="A33" t="str">
            <v>中国人寿金融中心</v>
          </cell>
          <cell r="B33" t="str">
            <v>P</v>
          </cell>
          <cell r="C33">
            <v>2019</v>
          </cell>
        </row>
        <row r="34">
          <cell r="A34" t="str">
            <v>北京国际俱乐部二期（C座）</v>
          </cell>
          <cell r="B34" t="str">
            <v>A</v>
          </cell>
          <cell r="C34">
            <v>2019</v>
          </cell>
        </row>
        <row r="35">
          <cell r="A35" t="str">
            <v>正大中心</v>
          </cell>
          <cell r="B35" t="str">
            <v>P</v>
          </cell>
          <cell r="C35">
            <v>2019</v>
          </cell>
        </row>
        <row r="36">
          <cell r="A36" t="str">
            <v>众秀大厦-资管公司部分</v>
          </cell>
          <cell r="B36" t="str">
            <v>A</v>
          </cell>
          <cell r="C36">
            <v>2019</v>
          </cell>
        </row>
        <row r="37">
          <cell r="A37" t="str">
            <v>众秀大厦-清华自己租赁部分</v>
          </cell>
          <cell r="B37" t="str">
            <v>A</v>
          </cell>
          <cell r="C37">
            <v>2019</v>
          </cell>
        </row>
        <row r="38">
          <cell r="A38" t="str">
            <v>中信大厦</v>
          </cell>
          <cell r="B38" t="str">
            <v>P</v>
          </cell>
          <cell r="C38">
            <v>2019</v>
          </cell>
        </row>
        <row r="39">
          <cell r="A39" t="str">
            <v>三星大厦 （中区+低区）</v>
          </cell>
          <cell r="B39" t="str">
            <v>P</v>
          </cell>
          <cell r="C39">
            <v>2020</v>
          </cell>
        </row>
        <row r="40">
          <cell r="A40" t="str">
            <v>三星大厦（高区 CBD管委会）</v>
          </cell>
          <cell r="B40" t="str">
            <v>P</v>
          </cell>
          <cell r="C40">
            <v>2020</v>
          </cell>
        </row>
        <row r="41">
          <cell r="A41" t="str">
            <v>宝钢大厦</v>
          </cell>
          <cell r="B41" t="str">
            <v>A</v>
          </cell>
          <cell r="C41">
            <v>2010</v>
          </cell>
        </row>
        <row r="42">
          <cell r="A42" t="str">
            <v>泰康集团大厦</v>
          </cell>
          <cell r="B42" t="str">
            <v>P</v>
          </cell>
          <cell r="C42">
            <v>2021</v>
          </cell>
        </row>
        <row r="43">
          <cell r="A43" t="str">
            <v>万科时尚中心</v>
          </cell>
          <cell r="B43" t="str">
            <v>A</v>
          </cell>
          <cell r="C43">
            <v>2021</v>
          </cell>
        </row>
        <row r="44">
          <cell r="A44" t="str">
            <v>阳光金融中心</v>
          </cell>
          <cell r="B44" t="str">
            <v>P</v>
          </cell>
          <cell r="C44">
            <v>2021</v>
          </cell>
        </row>
        <row r="45">
          <cell r="A45" t="str">
            <v>大家保险大厦B座</v>
          </cell>
          <cell r="B45" t="str">
            <v>A</v>
          </cell>
          <cell r="C45">
            <v>2009</v>
          </cell>
        </row>
        <row r="47">
          <cell r="A47" t="str">
            <v>东城商务区</v>
          </cell>
        </row>
        <row r="48">
          <cell r="A48" t="str">
            <v>中粮广场</v>
          </cell>
          <cell r="B48" t="str">
            <v>A</v>
          </cell>
          <cell r="C48">
            <v>1996</v>
          </cell>
        </row>
        <row r="49">
          <cell r="A49" t="str">
            <v>北京华润大厦</v>
          </cell>
          <cell r="B49" t="str">
            <v>A</v>
          </cell>
          <cell r="C49">
            <v>1999</v>
          </cell>
        </row>
        <row r="50">
          <cell r="A50" t="str">
            <v>东方广场西区</v>
          </cell>
          <cell r="B50" t="str">
            <v>A</v>
          </cell>
          <cell r="C50">
            <v>2000</v>
          </cell>
        </row>
        <row r="51">
          <cell r="A51" t="str">
            <v>东方广场东区</v>
          </cell>
          <cell r="B51" t="str">
            <v>A</v>
          </cell>
          <cell r="C51">
            <v>2001</v>
          </cell>
        </row>
        <row r="52">
          <cell r="A52" t="str">
            <v>东方广场中区</v>
          </cell>
          <cell r="B52" t="str">
            <v>A</v>
          </cell>
          <cell r="C52">
            <v>2002</v>
          </cell>
        </row>
        <row r="53">
          <cell r="A53" t="str">
            <v>金宝大厦</v>
          </cell>
          <cell r="B53" t="str">
            <v>A</v>
          </cell>
          <cell r="C53">
            <v>2005</v>
          </cell>
        </row>
        <row r="54">
          <cell r="A54" t="str">
            <v>中青旅大厦</v>
          </cell>
          <cell r="B54" t="str">
            <v>A</v>
          </cell>
          <cell r="C54">
            <v>2006</v>
          </cell>
        </row>
        <row r="55">
          <cell r="A55" t="str">
            <v>国华投资大厦</v>
          </cell>
          <cell r="B55" t="str">
            <v>A</v>
          </cell>
        </row>
        <row r="56">
          <cell r="A56" t="str">
            <v>五矿广场</v>
          </cell>
          <cell r="B56" t="str">
            <v>A</v>
          </cell>
          <cell r="C56">
            <v>2008</v>
          </cell>
        </row>
        <row r="57">
          <cell r="A57" t="str">
            <v>民生金融中心</v>
          </cell>
          <cell r="B57" t="str">
            <v>A</v>
          </cell>
          <cell r="C57">
            <v>2008</v>
          </cell>
        </row>
        <row r="58">
          <cell r="A58" t="str">
            <v>北京居然大厦</v>
          </cell>
          <cell r="B58" t="str">
            <v>A</v>
          </cell>
          <cell r="C58">
            <v>2008</v>
          </cell>
        </row>
        <row r="59">
          <cell r="A59" t="str">
            <v>北京来福士中心</v>
          </cell>
          <cell r="B59" t="str">
            <v>A</v>
          </cell>
          <cell r="C59">
            <v>2009</v>
          </cell>
        </row>
        <row r="60">
          <cell r="A60" t="str">
            <v>凯恒中心</v>
          </cell>
          <cell r="B60" t="str">
            <v>A</v>
          </cell>
          <cell r="C60">
            <v>2007</v>
          </cell>
        </row>
        <row r="61">
          <cell r="A61" t="str">
            <v>天润财富中心</v>
          </cell>
          <cell r="B61" t="str">
            <v>A</v>
          </cell>
          <cell r="C61">
            <v>2016</v>
          </cell>
        </row>
        <row r="62">
          <cell r="A62" t="str">
            <v>中粮广场-商改办（C座）</v>
          </cell>
          <cell r="B62" t="str">
            <v>A</v>
          </cell>
          <cell r="C62">
            <v>2017</v>
          </cell>
        </row>
        <row r="63">
          <cell r="A63" t="str">
            <v>哈德门广场东塔</v>
          </cell>
          <cell r="B63" t="str">
            <v>A</v>
          </cell>
          <cell r="C63">
            <v>2017</v>
          </cell>
        </row>
        <row r="64">
          <cell r="A64" t="str">
            <v>哈德门广场西塔</v>
          </cell>
          <cell r="B64" t="str">
            <v>A</v>
          </cell>
          <cell r="C64">
            <v>2018</v>
          </cell>
        </row>
        <row r="65">
          <cell r="A65" t="str">
            <v>玖安广场（中粮置地广场）</v>
          </cell>
          <cell r="B65" t="str">
            <v>A</v>
          </cell>
          <cell r="C65">
            <v>2018</v>
          </cell>
        </row>
        <row r="66">
          <cell r="A66" t="str">
            <v>兆泰国际中心二期</v>
          </cell>
          <cell r="B66" t="str">
            <v>A</v>
          </cell>
          <cell r="C66">
            <v>2020</v>
          </cell>
        </row>
        <row r="67">
          <cell r="A67" t="str">
            <v>泓晟国际中心</v>
          </cell>
          <cell r="B67" t="str">
            <v>A</v>
          </cell>
          <cell r="C67">
            <v>2021</v>
          </cell>
        </row>
        <row r="68">
          <cell r="A68" t="str">
            <v>信达中心</v>
          </cell>
          <cell r="B68" t="str">
            <v>P</v>
          </cell>
          <cell r="C68">
            <v>2023</v>
          </cell>
        </row>
        <row r="70">
          <cell r="A70" t="str">
            <v>金融街</v>
          </cell>
        </row>
        <row r="71">
          <cell r="A71" t="str">
            <v>远洋大厦</v>
          </cell>
          <cell r="B71" t="str">
            <v>A</v>
          </cell>
          <cell r="C71">
            <v>2000</v>
          </cell>
        </row>
        <row r="72">
          <cell r="A72" t="str">
            <v>英蓝国际金融中心</v>
          </cell>
          <cell r="B72" t="str">
            <v>P</v>
          </cell>
          <cell r="C72">
            <v>2005</v>
          </cell>
        </row>
        <row r="73">
          <cell r="A73" t="str">
            <v>盈泰商务中心</v>
          </cell>
          <cell r="B73" t="str">
            <v>A</v>
          </cell>
          <cell r="C73">
            <v>2006</v>
          </cell>
        </row>
        <row r="74">
          <cell r="A74" t="str">
            <v>长安兴融中心-4号楼</v>
          </cell>
          <cell r="B74" t="str">
            <v>A</v>
          </cell>
          <cell r="C74">
            <v>2006</v>
          </cell>
        </row>
        <row r="75">
          <cell r="A75" t="str">
            <v>凯晨世贸中心</v>
          </cell>
          <cell r="B75" t="str">
            <v>A</v>
          </cell>
          <cell r="C75">
            <v>2007</v>
          </cell>
        </row>
        <row r="76">
          <cell r="A76" t="str">
            <v>卓著中心</v>
          </cell>
          <cell r="B76" t="str">
            <v>A</v>
          </cell>
          <cell r="C76">
            <v>2007</v>
          </cell>
        </row>
        <row r="77">
          <cell r="A77" t="str">
            <v>中海国际中心</v>
          </cell>
          <cell r="B77" t="str">
            <v>A</v>
          </cell>
          <cell r="C77">
            <v>2007</v>
          </cell>
        </row>
        <row r="78">
          <cell r="A78" t="str">
            <v>泰康国际大厦</v>
          </cell>
          <cell r="B78" t="str">
            <v>A</v>
          </cell>
          <cell r="C78">
            <v>2007</v>
          </cell>
        </row>
        <row r="79">
          <cell r="A79" t="str">
            <v>中国人寿中心</v>
          </cell>
          <cell r="B79" t="str">
            <v>A</v>
          </cell>
          <cell r="C79">
            <v>2007</v>
          </cell>
        </row>
        <row r="80">
          <cell r="A80" t="str">
            <v>丰融国际中心</v>
          </cell>
          <cell r="B80" t="str">
            <v>A</v>
          </cell>
          <cell r="C80">
            <v>2008</v>
          </cell>
        </row>
        <row r="81">
          <cell r="A81" t="str">
            <v>金融街中心</v>
          </cell>
          <cell r="B81" t="str">
            <v>A</v>
          </cell>
          <cell r="C81">
            <v>2009</v>
          </cell>
        </row>
        <row r="82">
          <cell r="A82" t="str">
            <v>太平洋保险大厦</v>
          </cell>
          <cell r="B82" t="str">
            <v>A</v>
          </cell>
          <cell r="C82">
            <v>2010</v>
          </cell>
        </row>
        <row r="83">
          <cell r="A83" t="str">
            <v>丰铭国际大厦</v>
          </cell>
          <cell r="B83" t="str">
            <v>A</v>
          </cell>
          <cell r="C83">
            <v>2013</v>
          </cell>
        </row>
        <row r="84">
          <cell r="A84" t="str">
            <v>锦什坊街叁拾伍号</v>
          </cell>
          <cell r="B84" t="str">
            <v>A</v>
          </cell>
          <cell r="C84">
            <v>2015</v>
          </cell>
        </row>
        <row r="85">
          <cell r="A85" t="str">
            <v>月坛金融中心E座</v>
          </cell>
          <cell r="B85" t="str">
            <v>A</v>
          </cell>
          <cell r="C85">
            <v>2016</v>
          </cell>
        </row>
        <row r="86">
          <cell r="A86" t="str">
            <v>金嘉大厦</v>
          </cell>
          <cell r="B86" t="str">
            <v>A</v>
          </cell>
          <cell r="C86">
            <v>2019</v>
          </cell>
        </row>
        <row r="87">
          <cell r="A87" t="str">
            <v>新时代大厦</v>
          </cell>
          <cell r="B87" t="str">
            <v>A</v>
          </cell>
          <cell r="C87">
            <v>2007</v>
          </cell>
        </row>
        <row r="88">
          <cell r="A88" t="str">
            <v>航宇大厦B座</v>
          </cell>
          <cell r="B88" t="str">
            <v xml:space="preserve">A </v>
          </cell>
          <cell r="C88">
            <v>2011</v>
          </cell>
        </row>
        <row r="90">
          <cell r="A90" t="str">
            <v>燕莎</v>
          </cell>
        </row>
        <row r="91">
          <cell r="A91" t="str">
            <v>盈科中心（AB座）</v>
          </cell>
          <cell r="B91" t="str">
            <v>A</v>
          </cell>
          <cell r="C91">
            <v>1999</v>
          </cell>
        </row>
        <row r="92">
          <cell r="A92" t="str">
            <v>现代汽车大厦</v>
          </cell>
          <cell r="B92" t="str">
            <v>A</v>
          </cell>
          <cell r="C92">
            <v>2000</v>
          </cell>
        </row>
        <row r="93">
          <cell r="A93" t="str">
            <v>佳程广场</v>
          </cell>
          <cell r="B93" t="str">
            <v>A</v>
          </cell>
          <cell r="C93">
            <v>2005</v>
          </cell>
        </row>
        <row r="94">
          <cell r="A94" t="str">
            <v>平安国际金融中心</v>
          </cell>
          <cell r="B94" t="str">
            <v>A</v>
          </cell>
          <cell r="C94">
            <v>2008</v>
          </cell>
        </row>
        <row r="95">
          <cell r="A95" t="str">
            <v>凤凰置地广场A座</v>
          </cell>
          <cell r="B95" t="str">
            <v>A</v>
          </cell>
          <cell r="C95">
            <v>2010</v>
          </cell>
        </row>
        <row r="96">
          <cell r="A96" t="str">
            <v>嘉铭中心</v>
          </cell>
          <cell r="B96" t="str">
            <v>A</v>
          </cell>
          <cell r="C96">
            <v>2010</v>
          </cell>
        </row>
        <row r="97">
          <cell r="A97" t="str">
            <v>凤凰置地广场F&amp;H座</v>
          </cell>
          <cell r="B97" t="str">
            <v>A</v>
          </cell>
          <cell r="C97">
            <v>2011</v>
          </cell>
        </row>
        <row r="98">
          <cell r="A98" t="str">
            <v>友邦金融中心（原凯德 星贸/博瑞大厦）</v>
          </cell>
          <cell r="B98" t="str">
            <v>A</v>
          </cell>
          <cell r="C98">
            <v>2012</v>
          </cell>
        </row>
        <row r="99">
          <cell r="A99" t="str">
            <v>润世中心</v>
          </cell>
          <cell r="B99" t="str">
            <v>A</v>
          </cell>
          <cell r="C99">
            <v>2013</v>
          </cell>
        </row>
        <row r="100">
          <cell r="A100" t="str">
            <v>亮马桥外交办公大楼</v>
          </cell>
          <cell r="B100" t="str">
            <v>A</v>
          </cell>
          <cell r="C100">
            <v>2014</v>
          </cell>
        </row>
        <row r="101">
          <cell r="A101" t="str">
            <v>冠捷大厦</v>
          </cell>
          <cell r="B101" t="str">
            <v>A</v>
          </cell>
          <cell r="C101">
            <v>2015</v>
          </cell>
        </row>
        <row r="102">
          <cell r="A102" t="str">
            <v>国航世纪大厦</v>
          </cell>
          <cell r="B102" t="str">
            <v>A</v>
          </cell>
          <cell r="C102">
            <v>2016</v>
          </cell>
        </row>
        <row r="103">
          <cell r="A103" t="str">
            <v>启皓北京</v>
          </cell>
          <cell r="B103" t="str">
            <v>P</v>
          </cell>
          <cell r="C103">
            <v>2016</v>
          </cell>
        </row>
        <row r="104">
          <cell r="A104" t="str">
            <v>盈科中心-商业改办公</v>
          </cell>
          <cell r="B104" t="str">
            <v>A</v>
          </cell>
          <cell r="C104">
            <v>2015</v>
          </cell>
        </row>
        <row r="105">
          <cell r="A105" t="str">
            <v>骏豪中央公园A1</v>
          </cell>
          <cell r="B105" t="str">
            <v>A</v>
          </cell>
          <cell r="C105">
            <v>2017</v>
          </cell>
        </row>
        <row r="106">
          <cell r="A106" t="str">
            <v>华瑞大厦（绿地金融中心）</v>
          </cell>
          <cell r="B106" t="str">
            <v>A</v>
          </cell>
          <cell r="C106">
            <v>2019</v>
          </cell>
        </row>
        <row r="107">
          <cell r="A107" t="str">
            <v>哈银国际中心</v>
          </cell>
          <cell r="B107" t="str">
            <v>A</v>
          </cell>
          <cell r="C107">
            <v>2020</v>
          </cell>
        </row>
        <row r="108">
          <cell r="A108" t="str">
            <v>霄云路33号（万科）</v>
          </cell>
          <cell r="B108" t="str">
            <v>A</v>
          </cell>
          <cell r="C108">
            <v>2022</v>
          </cell>
        </row>
        <row r="111">
          <cell r="A111" t="str">
            <v>中关村</v>
          </cell>
        </row>
        <row r="112">
          <cell r="A112" t="str">
            <v>融科资讯中心A座</v>
          </cell>
          <cell r="B112" t="str">
            <v>A</v>
          </cell>
          <cell r="C112">
            <v>2002</v>
          </cell>
        </row>
        <row r="113">
          <cell r="A113" t="str">
            <v>融科资讯中心C座</v>
          </cell>
          <cell r="B113" t="str">
            <v>P</v>
          </cell>
          <cell r="C113">
            <v>2004</v>
          </cell>
        </row>
        <row r="114">
          <cell r="A114" t="str">
            <v>理想国际大厦</v>
          </cell>
          <cell r="B114" t="str">
            <v>A</v>
          </cell>
          <cell r="C114">
            <v>2004</v>
          </cell>
        </row>
        <row r="115">
          <cell r="A115" t="str">
            <v>中国电子大厦</v>
          </cell>
          <cell r="B115" t="str">
            <v>A</v>
          </cell>
          <cell r="C115">
            <v>2005</v>
          </cell>
        </row>
        <row r="116">
          <cell r="A116" t="str">
            <v>中钢国际广场</v>
          </cell>
          <cell r="B116" t="str">
            <v>A</v>
          </cell>
          <cell r="C116">
            <v>2005</v>
          </cell>
        </row>
        <row r="117">
          <cell r="A117" t="str">
            <v>欧美汇大厦</v>
          </cell>
          <cell r="B117" t="str">
            <v>A</v>
          </cell>
          <cell r="C117">
            <v>2009</v>
          </cell>
        </row>
        <row r="118">
          <cell r="A118" t="str">
            <v>互联网金融中心</v>
          </cell>
          <cell r="B118" t="str">
            <v>A</v>
          </cell>
          <cell r="C118">
            <v>2014</v>
          </cell>
        </row>
        <row r="119">
          <cell r="A119" t="str">
            <v>北航致真大厦</v>
          </cell>
          <cell r="B119" t="str">
            <v xml:space="preserve">A </v>
          </cell>
          <cell r="C119">
            <v>2014</v>
          </cell>
        </row>
        <row r="120">
          <cell r="A120" t="str">
            <v>融科资讯中心B座</v>
          </cell>
          <cell r="B120" t="str">
            <v>P</v>
          </cell>
          <cell r="C120">
            <v>2015</v>
          </cell>
        </row>
        <row r="121">
          <cell r="A121" t="str">
            <v>中航广场一期</v>
          </cell>
          <cell r="B121" t="str">
            <v>A</v>
          </cell>
          <cell r="C121">
            <v>2015</v>
          </cell>
        </row>
        <row r="122">
          <cell r="A122" t="str">
            <v>保利蓟门壹号</v>
          </cell>
          <cell r="B122" t="str">
            <v>A</v>
          </cell>
          <cell r="C122">
            <v>2016</v>
          </cell>
        </row>
        <row r="123">
          <cell r="A123" t="str">
            <v>卫通大厦</v>
          </cell>
          <cell r="B123" t="str">
            <v>A</v>
          </cell>
          <cell r="C123">
            <v>2016</v>
          </cell>
        </row>
        <row r="124">
          <cell r="A124" t="str">
            <v>中关村资本大厦</v>
          </cell>
          <cell r="B124" t="str">
            <v>A</v>
          </cell>
          <cell r="C124">
            <v>2017</v>
          </cell>
        </row>
        <row r="125">
          <cell r="A125" t="str">
            <v>鼎好DH3-A座</v>
          </cell>
          <cell r="B125" t="str">
            <v>A</v>
          </cell>
          <cell r="C125">
            <v>2021</v>
          </cell>
        </row>
        <row r="126">
          <cell r="A126" t="str">
            <v>丽金智地中心</v>
          </cell>
          <cell r="B126" t="str">
            <v>P</v>
          </cell>
          <cell r="C126">
            <v>2023</v>
          </cell>
        </row>
        <row r="127">
          <cell r="A127" t="str">
            <v>丽金智地中心-蚂蚁金服面积</v>
          </cell>
          <cell r="B127" t="str">
            <v>P</v>
          </cell>
          <cell r="C127">
            <v>2023</v>
          </cell>
        </row>
        <row r="128">
          <cell r="A128" t="str">
            <v>和泓大厦</v>
          </cell>
          <cell r="B128" t="str">
            <v>A</v>
          </cell>
          <cell r="C128">
            <v>2023</v>
          </cell>
        </row>
        <row r="129">
          <cell r="A129" t="str">
            <v>西海国际中心</v>
          </cell>
          <cell r="B129" t="str">
            <v xml:space="preserve">A </v>
          </cell>
          <cell r="C129">
            <v>2009</v>
          </cell>
        </row>
        <row r="130">
          <cell r="A130" t="str">
            <v>北京理工大学国防科技园（理工大学）</v>
          </cell>
          <cell r="B130" t="str">
            <v xml:space="preserve">A </v>
          </cell>
          <cell r="C130">
            <v>2016</v>
          </cell>
        </row>
        <row r="131">
          <cell r="A131" t="str">
            <v>清华科技园-火炬大厦</v>
          </cell>
          <cell r="B131" t="str">
            <v xml:space="preserve">A </v>
          </cell>
          <cell r="C131">
            <v>2021</v>
          </cell>
        </row>
        <row r="132">
          <cell r="A132" t="str">
            <v>搜狐网络大厦</v>
          </cell>
          <cell r="B132" t="str">
            <v xml:space="preserve">A </v>
          </cell>
          <cell r="C132">
            <v>2004</v>
          </cell>
        </row>
        <row r="133">
          <cell r="A133" t="str">
            <v>中国技术交易大厦</v>
          </cell>
          <cell r="B133" t="str">
            <v xml:space="preserve">A </v>
          </cell>
          <cell r="C133">
            <v>2006</v>
          </cell>
        </row>
        <row r="134">
          <cell r="A134" t="str">
            <v>鼎好DH3-B/C座</v>
          </cell>
          <cell r="B134" t="str">
            <v xml:space="preserve">A </v>
          </cell>
          <cell r="C134">
            <v>2024</v>
          </cell>
        </row>
        <row r="135">
          <cell r="A135" t="str">
            <v>中关村东升科技园三期（东畔创新中心）</v>
          </cell>
          <cell r="B135" t="str">
            <v>A</v>
          </cell>
          <cell r="C135">
            <v>2024</v>
          </cell>
        </row>
        <row r="136">
          <cell r="A136" t="str">
            <v>学院路科技园东升园</v>
          </cell>
          <cell r="B136" t="str">
            <v>A</v>
          </cell>
          <cell r="C136">
            <v>2025</v>
          </cell>
        </row>
        <row r="138">
          <cell r="A138" t="str">
            <v>望京-酒仙桥</v>
          </cell>
        </row>
        <row r="139">
          <cell r="A139" t="str">
            <v>利星行广场（一期）</v>
          </cell>
          <cell r="B139" t="str">
            <v>A</v>
          </cell>
          <cell r="C139">
            <v>2008</v>
          </cell>
        </row>
        <row r="140">
          <cell r="A140" t="str">
            <v>颐堤港</v>
          </cell>
          <cell r="B140" t="str">
            <v>A</v>
          </cell>
          <cell r="C140">
            <v>2011</v>
          </cell>
        </row>
        <row r="141">
          <cell r="A141" t="str">
            <v>浦项中心</v>
          </cell>
          <cell r="B141" t="str">
            <v>A</v>
          </cell>
          <cell r="C141">
            <v>2015</v>
          </cell>
        </row>
        <row r="142">
          <cell r="A142" t="str">
            <v>诺金写字楼</v>
          </cell>
          <cell r="B142" t="str">
            <v>A</v>
          </cell>
          <cell r="C142">
            <v>2015</v>
          </cell>
        </row>
        <row r="143">
          <cell r="A143" t="str">
            <v>保利国际广场1座</v>
          </cell>
          <cell r="B143" t="str">
            <v>A</v>
          </cell>
          <cell r="C143">
            <v>2015</v>
          </cell>
        </row>
        <row r="144">
          <cell r="A144" t="str">
            <v>利星行中心（二期）</v>
          </cell>
          <cell r="B144" t="str">
            <v>A</v>
          </cell>
          <cell r="C144">
            <v>2016</v>
          </cell>
        </row>
        <row r="145">
          <cell r="A145" t="str">
            <v>金辉大厦</v>
          </cell>
          <cell r="B145" t="str">
            <v>A</v>
          </cell>
          <cell r="C145">
            <v>2016</v>
          </cell>
        </row>
        <row r="146">
          <cell r="A146" t="str">
            <v>融新科技中心</v>
          </cell>
          <cell r="B146" t="str">
            <v>A</v>
          </cell>
          <cell r="C146">
            <v>2018</v>
          </cell>
        </row>
        <row r="147">
          <cell r="A147" t="str">
            <v>中航产融大厦（中航资本大厦）</v>
          </cell>
          <cell r="B147" t="str">
            <v>A</v>
          </cell>
          <cell r="C147">
            <v>2018</v>
          </cell>
        </row>
        <row r="148">
          <cell r="A148" t="str">
            <v>东湖国际中心</v>
          </cell>
          <cell r="B148" t="str">
            <v>A</v>
          </cell>
          <cell r="C148">
            <v>2018</v>
          </cell>
        </row>
        <row r="149">
          <cell r="A149" t="str">
            <v>东方金融中心</v>
          </cell>
          <cell r="B149" t="str">
            <v>A</v>
          </cell>
          <cell r="C149">
            <v>2019</v>
          </cell>
        </row>
        <row r="150">
          <cell r="A150" t="str">
            <v>富泽人寿大厦（君康人寿大厦）（忠旺大厦）</v>
          </cell>
          <cell r="B150" t="str">
            <v>P</v>
          </cell>
          <cell r="C150">
            <v>2018</v>
          </cell>
        </row>
        <row r="151">
          <cell r="A151" t="str">
            <v>阿里巴巴望京A座（绿地中心A座）</v>
          </cell>
          <cell r="B151" t="str">
            <v xml:space="preserve">A </v>
          </cell>
          <cell r="C151">
            <v>2015</v>
          </cell>
        </row>
        <row r="153">
          <cell r="A153" t="str">
            <v>亚奥</v>
          </cell>
        </row>
        <row r="154">
          <cell r="A154" t="str">
            <v>环球贸易中心A、B座</v>
          </cell>
          <cell r="B154" t="str">
            <v>A</v>
          </cell>
        </row>
        <row r="155">
          <cell r="A155" t="str">
            <v>环球贸易中心C、D座</v>
          </cell>
          <cell r="B155" t="str">
            <v>A</v>
          </cell>
          <cell r="C155">
            <v>2008</v>
          </cell>
        </row>
        <row r="156">
          <cell r="A156" t="str">
            <v>环球贸易中心E座</v>
          </cell>
          <cell r="B156" t="str">
            <v>A</v>
          </cell>
          <cell r="C156">
            <v>2010</v>
          </cell>
        </row>
        <row r="157">
          <cell r="A157" t="str">
            <v>环球贸易中心F座</v>
          </cell>
          <cell r="B157" t="str">
            <v>A</v>
          </cell>
          <cell r="C157">
            <v>2010</v>
          </cell>
        </row>
        <row r="158">
          <cell r="A158" t="str">
            <v>北辰时代大厦</v>
          </cell>
          <cell r="B158" t="str">
            <v>A</v>
          </cell>
          <cell r="C158">
            <v>2008</v>
          </cell>
        </row>
        <row r="159">
          <cell r="A159" t="str">
            <v>北辰世纪中心</v>
          </cell>
          <cell r="B159" t="str">
            <v>A</v>
          </cell>
          <cell r="C159">
            <v>2009</v>
          </cell>
        </row>
        <row r="160">
          <cell r="A160" t="str">
            <v>国家会议中心</v>
          </cell>
          <cell r="B160" t="str">
            <v>A</v>
          </cell>
          <cell r="C160">
            <v>2009</v>
          </cell>
        </row>
        <row r="161">
          <cell r="A161" t="str">
            <v>钰珵大厦（盘古大观）</v>
          </cell>
          <cell r="B161" t="str">
            <v>A</v>
          </cell>
          <cell r="C161">
            <v>2010</v>
          </cell>
        </row>
        <row r="162">
          <cell r="A162" t="str">
            <v>奥南五号-A座（天圆祥泰大厦）</v>
          </cell>
          <cell r="B162" t="str">
            <v>A</v>
          </cell>
          <cell r="C162">
            <v>2016</v>
          </cell>
        </row>
        <row r="163">
          <cell r="A163" t="str">
            <v>招商局广场（外运大厦A座）</v>
          </cell>
          <cell r="B163" t="str">
            <v>A</v>
          </cell>
          <cell r="C163">
            <v>2016</v>
          </cell>
        </row>
        <row r="164">
          <cell r="A164" t="str">
            <v>中建财富国际中心</v>
          </cell>
          <cell r="B164" t="str">
            <v>A</v>
          </cell>
          <cell r="C164">
            <v>2017</v>
          </cell>
        </row>
        <row r="165">
          <cell r="A165" t="str">
            <v>奥南五号-B座（恒毅大厦）</v>
          </cell>
          <cell r="B165" t="str">
            <v>A</v>
          </cell>
          <cell r="C165">
            <v>2017</v>
          </cell>
        </row>
        <row r="166">
          <cell r="A166" t="str">
            <v>中海国际中心</v>
          </cell>
          <cell r="B166" t="str">
            <v>A</v>
          </cell>
          <cell r="C166">
            <v>2017</v>
          </cell>
        </row>
        <row r="167">
          <cell r="A167" t="str">
            <v>城奥大厦</v>
          </cell>
          <cell r="B167" t="str">
            <v>A</v>
          </cell>
          <cell r="C167">
            <v>2019</v>
          </cell>
        </row>
        <row r="168">
          <cell r="A168" t="str">
            <v>亚洲金融大厦CDE座</v>
          </cell>
          <cell r="B168" t="str">
            <v>P</v>
          </cell>
          <cell r="C168">
            <v>2019</v>
          </cell>
        </row>
        <row r="169">
          <cell r="A169" t="str">
            <v>北投投资大厦</v>
          </cell>
          <cell r="B169" t="str">
            <v>A</v>
          </cell>
          <cell r="C169">
            <v>2021</v>
          </cell>
        </row>
        <row r="170">
          <cell r="A170" t="str">
            <v>北辰中心</v>
          </cell>
          <cell r="B170" t="str">
            <v>A</v>
          </cell>
          <cell r="C170">
            <v>2023</v>
          </cell>
        </row>
        <row r="172">
          <cell r="A172" t="str">
            <v>丽泽</v>
          </cell>
        </row>
        <row r="173">
          <cell r="A173" t="str">
            <v>聚杰金融大厦</v>
          </cell>
          <cell r="B173" t="str">
            <v>A</v>
          </cell>
          <cell r="C173">
            <v>2018</v>
          </cell>
        </row>
        <row r="174">
          <cell r="A174" t="str">
            <v>汇亚大厦</v>
          </cell>
          <cell r="B174" t="str">
            <v>A</v>
          </cell>
          <cell r="C174">
            <v>2018</v>
          </cell>
        </row>
        <row r="175">
          <cell r="A175" t="str">
            <v>铭丰中心</v>
          </cell>
          <cell r="B175" t="str">
            <v>A</v>
          </cell>
          <cell r="C175">
            <v>2019</v>
          </cell>
        </row>
        <row r="176">
          <cell r="A176" t="str">
            <v>丽泽SOHO</v>
          </cell>
          <cell r="B176" t="str">
            <v>A</v>
          </cell>
          <cell r="C176">
            <v>2019</v>
          </cell>
        </row>
        <row r="177">
          <cell r="A177" t="str">
            <v>青海金融大厦</v>
          </cell>
          <cell r="B177" t="str">
            <v>A</v>
          </cell>
          <cell r="C177">
            <v>2019</v>
          </cell>
        </row>
        <row r="178">
          <cell r="A178" t="str">
            <v>晋商联合大厦</v>
          </cell>
          <cell r="B178" t="str">
            <v>A</v>
          </cell>
          <cell r="C178">
            <v>2018</v>
          </cell>
        </row>
        <row r="179">
          <cell r="A179" t="str">
            <v>丽泽平安金融中心</v>
          </cell>
          <cell r="B179" t="str">
            <v>A</v>
          </cell>
          <cell r="C179">
            <v>2020</v>
          </cell>
        </row>
        <row r="180">
          <cell r="A180" t="str">
            <v>远洋锐中心</v>
          </cell>
          <cell r="B180" t="str">
            <v>A</v>
          </cell>
          <cell r="C180">
            <v>2020</v>
          </cell>
        </row>
        <row r="181">
          <cell r="A181" t="str">
            <v>平安幸福中心</v>
          </cell>
          <cell r="B181" t="str">
            <v>A</v>
          </cell>
          <cell r="C181">
            <v>2021</v>
          </cell>
        </row>
        <row r="182">
          <cell r="A182" t="str">
            <v>鼎兴大厦</v>
          </cell>
          <cell r="B182" t="str">
            <v>A</v>
          </cell>
          <cell r="C182">
            <v>2021</v>
          </cell>
        </row>
        <row r="183">
          <cell r="A183" t="str">
            <v>丽金中心（开创金润中心AB栋）</v>
          </cell>
          <cell r="B183" t="str">
            <v>A</v>
          </cell>
          <cell r="C183">
            <v>2023</v>
          </cell>
        </row>
        <row r="184">
          <cell r="A184" t="str">
            <v>国家金融信息大厦</v>
          </cell>
          <cell r="B184" t="str">
            <v>A</v>
          </cell>
          <cell r="C184">
            <v>2024</v>
          </cell>
        </row>
        <row r="186">
          <cell r="A186" t="str">
            <v>其他</v>
          </cell>
        </row>
        <row r="187">
          <cell r="A187" t="str">
            <v>中海地产广场</v>
          </cell>
          <cell r="B187" t="str">
            <v>A</v>
          </cell>
          <cell r="C187">
            <v>2011</v>
          </cell>
        </row>
        <row r="188">
          <cell r="A188" t="str">
            <v>紫檀大厦</v>
          </cell>
          <cell r="B188" t="str">
            <v>A</v>
          </cell>
          <cell r="C188">
            <v>2015</v>
          </cell>
        </row>
        <row r="189">
          <cell r="A189" t="str">
            <v>中国太平金融中心</v>
          </cell>
          <cell r="B189" t="str">
            <v>A</v>
          </cell>
          <cell r="C189">
            <v>2018</v>
          </cell>
        </row>
        <row r="190">
          <cell r="A190" t="str">
            <v>中融信托大厦</v>
          </cell>
          <cell r="B190" t="str">
            <v>A</v>
          </cell>
          <cell r="C190">
            <v>2018</v>
          </cell>
        </row>
        <row r="191">
          <cell r="A191" t="str">
            <v>华熙Live中心</v>
          </cell>
          <cell r="B191" t="str">
            <v>A</v>
          </cell>
          <cell r="C191">
            <v>2019</v>
          </cell>
        </row>
        <row r="192">
          <cell r="A192" t="str">
            <v>航空科技大厦</v>
          </cell>
          <cell r="B192" t="str">
            <v xml:space="preserve">A </v>
          </cell>
          <cell r="C192">
            <v>2018</v>
          </cell>
        </row>
        <row r="193">
          <cell r="A193" t="str">
            <v>文化创意大厦</v>
          </cell>
          <cell r="B193" t="str">
            <v>A</v>
          </cell>
          <cell r="C193">
            <v>2018</v>
          </cell>
        </row>
        <row r="194">
          <cell r="A194" t="str">
            <v>中海大厦C、D座</v>
          </cell>
          <cell r="B194" t="str">
            <v>A</v>
          </cell>
          <cell r="C194">
            <v>2020</v>
          </cell>
        </row>
        <row r="195">
          <cell r="A195" t="str">
            <v>中海大厦B座</v>
          </cell>
          <cell r="B195" t="str">
            <v>A</v>
          </cell>
          <cell r="C195">
            <v>2016</v>
          </cell>
        </row>
        <row r="196">
          <cell r="A196" t="str">
            <v>中海财富中心</v>
          </cell>
          <cell r="B196" t="str">
            <v>A</v>
          </cell>
          <cell r="C196">
            <v>2021</v>
          </cell>
        </row>
        <row r="197">
          <cell r="A197" t="str">
            <v>泰禾长安中心B座</v>
          </cell>
          <cell r="B197" t="str">
            <v>A</v>
          </cell>
          <cell r="C197">
            <v>2019</v>
          </cell>
        </row>
        <row r="198">
          <cell r="A198" t="str">
            <v>新动力金融科技中心</v>
          </cell>
          <cell r="B198" t="str">
            <v>A</v>
          </cell>
          <cell r="C198">
            <v>2023</v>
          </cell>
        </row>
        <row r="199">
          <cell r="A199" t="str">
            <v>京印国际中心</v>
          </cell>
          <cell r="B199" t="str">
            <v>A</v>
          </cell>
          <cell r="C199">
            <v>2023</v>
          </cell>
        </row>
        <row r="200">
          <cell r="A200" t="str">
            <v>丽泽天地</v>
          </cell>
          <cell r="B200" t="str">
            <v>A</v>
          </cell>
          <cell r="C200">
            <v>2022</v>
          </cell>
        </row>
        <row r="201">
          <cell r="A201" t="str">
            <v>有研科技创新中心</v>
          </cell>
          <cell r="B201" t="str">
            <v>A</v>
          </cell>
          <cell r="C201">
            <v>2023</v>
          </cell>
        </row>
        <row r="202">
          <cell r="A202" t="str">
            <v>翔鹰大厦</v>
          </cell>
          <cell r="B202" t="str">
            <v>A</v>
          </cell>
          <cell r="C202">
            <v>2023</v>
          </cell>
        </row>
        <row r="203">
          <cell r="A203" t="str">
            <v>北京金融科技中心</v>
          </cell>
          <cell r="B203" t="str">
            <v>A</v>
          </cell>
          <cell r="C203">
            <v>2024</v>
          </cell>
        </row>
        <row r="204">
          <cell r="A204" t="str">
            <v>金唐中心</v>
          </cell>
          <cell r="B204" t="str">
            <v>A</v>
          </cell>
          <cell r="C204">
            <v>2016</v>
          </cell>
        </row>
        <row r="205">
          <cell r="A205" t="str">
            <v>中海金融中心T1&amp;T4</v>
          </cell>
          <cell r="B205" t="str">
            <v>A</v>
          </cell>
          <cell r="C205">
            <v>2025</v>
          </cell>
        </row>
        <row r="207">
          <cell r="A207" t="str">
            <v>通州</v>
          </cell>
        </row>
        <row r="208">
          <cell r="A208" t="str">
            <v>远洋乐堤港二座</v>
          </cell>
          <cell r="B208" t="str">
            <v>A</v>
          </cell>
          <cell r="C208">
            <v>2023</v>
          </cell>
        </row>
        <row r="209">
          <cell r="A209" t="str">
            <v>世界侨商中心2号楼（侨商）</v>
          </cell>
          <cell r="B209" t="str">
            <v>A</v>
          </cell>
          <cell r="C209">
            <v>2018</v>
          </cell>
        </row>
        <row r="210">
          <cell r="A210" t="str">
            <v>世界侨商中心3号楼（侨商）</v>
          </cell>
          <cell r="B210" t="str">
            <v>A</v>
          </cell>
          <cell r="C210">
            <v>2018</v>
          </cell>
        </row>
        <row r="211">
          <cell r="A211" t="str">
            <v>保利大都汇（4#2#1#）</v>
          </cell>
          <cell r="B211" t="str">
            <v>A</v>
          </cell>
          <cell r="C211">
            <v>2017</v>
          </cell>
        </row>
        <row r="212">
          <cell r="A212" t="str">
            <v>合景国际金融广场（4B)</v>
          </cell>
          <cell r="B212" t="str">
            <v>A</v>
          </cell>
          <cell r="C212">
            <v>2021</v>
          </cell>
        </row>
        <row r="213">
          <cell r="A213" t="str">
            <v>通州C01(富力中心C01（中银）)</v>
          </cell>
          <cell r="B213" t="str">
            <v>A</v>
          </cell>
          <cell r="C213">
            <v>2023</v>
          </cell>
        </row>
        <row r="214">
          <cell r="A214" t="str">
            <v>复地金融中心B座（南塔）</v>
          </cell>
          <cell r="B214" t="str">
            <v>A</v>
          </cell>
          <cell r="C214">
            <v>2019</v>
          </cell>
        </row>
        <row r="215">
          <cell r="A215" t="str">
            <v>新光大中心5A</v>
          </cell>
          <cell r="B215" t="str">
            <v>A</v>
          </cell>
          <cell r="C215">
            <v>2022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80671-4AFA-4641-88D4-A51F39483890}">
  <dimension ref="A1:P192"/>
  <sheetViews>
    <sheetView tabSelected="1" zoomScale="81" zoomScaleNormal="10" workbookViewId="0">
      <pane ySplit="1" topLeftCell="A181" activePane="bottomLeft" state="frozen"/>
      <selection pane="bottomLeft" activeCell="B193" sqref="B193"/>
    </sheetView>
  </sheetViews>
  <sheetFormatPr defaultColWidth="10.90625" defaultRowHeight="14.5"/>
  <cols>
    <col min="1" max="1" width="5.6328125" bestFit="1" customWidth="1"/>
    <col min="2" max="2" width="42.26953125" bestFit="1" customWidth="1"/>
    <col min="3" max="3" width="11.7265625" bestFit="1" customWidth="1"/>
    <col min="4" max="4" width="11.08984375" bestFit="1" customWidth="1"/>
    <col min="5" max="5" width="8.1796875" bestFit="1" customWidth="1"/>
    <col min="6" max="6" width="9.08984375" bestFit="1" customWidth="1"/>
    <col min="7" max="7" width="7.08984375" bestFit="1" customWidth="1"/>
    <col min="8" max="8" width="9.08984375" bestFit="1" customWidth="1"/>
    <col min="9" max="9" width="21.54296875" bestFit="1" customWidth="1"/>
    <col min="10" max="10" width="7.1796875" bestFit="1" customWidth="1"/>
    <col min="11" max="11" width="10.08984375" bestFit="1" customWidth="1"/>
    <col min="12" max="12" width="11" customWidth="1"/>
    <col min="13" max="13" width="12.08984375" bestFit="1" customWidth="1"/>
    <col min="14" max="14" width="9.08984375" bestFit="1" customWidth="1"/>
    <col min="16" max="16" width="10.36328125" customWidth="1"/>
  </cols>
  <sheetData>
    <row r="1" spans="1:16">
      <c r="A1" s="3" t="s">
        <v>409</v>
      </c>
      <c r="B1" s="3" t="s">
        <v>411</v>
      </c>
      <c r="C1" s="3" t="s">
        <v>412</v>
      </c>
      <c r="D1" s="3" t="s">
        <v>413</v>
      </c>
      <c r="E1" s="4" t="s">
        <v>419</v>
      </c>
      <c r="F1" s="3" t="s">
        <v>414</v>
      </c>
      <c r="G1" s="3" t="s">
        <v>0</v>
      </c>
      <c r="H1" s="3" t="s">
        <v>1</v>
      </c>
      <c r="I1" s="3" t="s">
        <v>2</v>
      </c>
      <c r="J1" s="3" t="s">
        <v>415</v>
      </c>
      <c r="K1" s="3" t="s">
        <v>410</v>
      </c>
      <c r="L1" s="3" t="s">
        <v>416</v>
      </c>
      <c r="M1" s="3" t="s">
        <v>417</v>
      </c>
      <c r="N1" s="3" t="s">
        <v>418</v>
      </c>
      <c r="P1" s="1" t="s">
        <v>414</v>
      </c>
    </row>
    <row r="2" spans="1:16">
      <c r="A2" s="3">
        <v>1</v>
      </c>
      <c r="B2" s="3" t="s">
        <v>3</v>
      </c>
      <c r="C2" s="3" t="s">
        <v>4</v>
      </c>
      <c r="D2" s="3" t="s">
        <v>5</v>
      </c>
      <c r="E2" s="3"/>
      <c r="F2" s="3">
        <v>1990</v>
      </c>
      <c r="G2" s="3" t="s">
        <v>7</v>
      </c>
      <c r="H2" s="3" t="s">
        <v>8</v>
      </c>
      <c r="I2" s="3" t="s">
        <v>9</v>
      </c>
      <c r="J2" s="3" t="s">
        <v>420</v>
      </c>
      <c r="K2" s="3">
        <v>72308</v>
      </c>
      <c r="L2" s="3">
        <v>288.75</v>
      </c>
      <c r="M2" s="3">
        <v>0.129999446810865</v>
      </c>
      <c r="N2" s="3">
        <v>9400</v>
      </c>
      <c r="P2" t="s">
        <v>6</v>
      </c>
    </row>
    <row r="3" spans="1:16">
      <c r="A3" s="3">
        <v>2</v>
      </c>
      <c r="B3" s="3" t="s">
        <v>10</v>
      </c>
      <c r="C3" s="3" t="s">
        <v>4</v>
      </c>
      <c r="D3" s="3" t="s">
        <v>5</v>
      </c>
      <c r="E3" s="3"/>
      <c r="F3" s="3">
        <v>1999</v>
      </c>
      <c r="G3" s="3" t="s">
        <v>7</v>
      </c>
      <c r="H3" s="3" t="s">
        <v>8</v>
      </c>
      <c r="I3" s="3" t="s">
        <v>12</v>
      </c>
      <c r="J3" s="3" t="s">
        <v>420</v>
      </c>
      <c r="K3" s="3">
        <v>72308</v>
      </c>
      <c r="L3" s="3">
        <v>307.08333333333297</v>
      </c>
      <c r="M3" s="3">
        <v>2.0053106156995099E-2</v>
      </c>
      <c r="N3" s="3">
        <v>1450</v>
      </c>
      <c r="P3" t="s">
        <v>11</v>
      </c>
    </row>
    <row r="4" spans="1:16">
      <c r="A4" s="3">
        <v>3</v>
      </c>
      <c r="B4" s="3" t="s">
        <v>13</v>
      </c>
      <c r="C4" s="3" t="s">
        <v>4</v>
      </c>
      <c r="D4" s="3" t="s">
        <v>14</v>
      </c>
      <c r="E4" s="3" t="s">
        <v>23</v>
      </c>
      <c r="F4" s="3">
        <v>2010</v>
      </c>
      <c r="G4" s="3" t="s">
        <v>7</v>
      </c>
      <c r="H4" s="3" t="s">
        <v>8</v>
      </c>
      <c r="I4" s="3" t="s">
        <v>17</v>
      </c>
      <c r="J4" s="3" t="s">
        <v>420</v>
      </c>
      <c r="K4" s="3">
        <v>130769</v>
      </c>
      <c r="L4" s="3">
        <v>363.61111111111097</v>
      </c>
      <c r="M4" s="3">
        <v>0.100176647370554</v>
      </c>
      <c r="N4" s="3">
        <v>13100</v>
      </c>
      <c r="P4" t="s">
        <v>15</v>
      </c>
    </row>
    <row r="5" spans="1:16">
      <c r="A5" s="3">
        <v>4</v>
      </c>
      <c r="B5" s="3" t="s">
        <v>18</v>
      </c>
      <c r="C5" s="3" t="s">
        <v>4</v>
      </c>
      <c r="D5" s="3" t="s">
        <v>14</v>
      </c>
      <c r="E5" s="3" t="s">
        <v>23</v>
      </c>
      <c r="F5" s="3">
        <v>2017</v>
      </c>
      <c r="G5" s="3" t="s">
        <v>7</v>
      </c>
      <c r="H5" s="3" t="s">
        <v>8</v>
      </c>
      <c r="I5" s="3" t="s">
        <v>20</v>
      </c>
      <c r="J5" s="3" t="s">
        <v>420</v>
      </c>
      <c r="K5" s="3">
        <v>64615</v>
      </c>
      <c r="L5" s="3">
        <v>377.777777777778</v>
      </c>
      <c r="M5" s="3">
        <v>3.01787510639944E-2</v>
      </c>
      <c r="N5" s="3">
        <v>1950</v>
      </c>
      <c r="P5" t="s">
        <v>19</v>
      </c>
    </row>
    <row r="6" spans="1:16">
      <c r="A6" s="3">
        <v>5</v>
      </c>
      <c r="B6" s="3" t="s">
        <v>21</v>
      </c>
      <c r="C6" s="3" t="s">
        <v>4</v>
      </c>
      <c r="D6" s="3" t="s">
        <v>5</v>
      </c>
      <c r="E6" s="3" t="s">
        <v>23</v>
      </c>
      <c r="F6" s="3">
        <v>1998</v>
      </c>
      <c r="G6" s="3" t="s">
        <v>7</v>
      </c>
      <c r="H6" s="3" t="s">
        <v>8</v>
      </c>
      <c r="I6" s="3" t="s">
        <v>24</v>
      </c>
      <c r="J6" s="3" t="s">
        <v>420</v>
      </c>
      <c r="K6" s="3">
        <v>80091</v>
      </c>
      <c r="L6" s="3">
        <v>208.333333333333</v>
      </c>
      <c r="M6" s="3">
        <v>7.4440324131300598E-2</v>
      </c>
      <c r="N6" s="3">
        <v>5962</v>
      </c>
      <c r="P6" t="s">
        <v>22</v>
      </c>
    </row>
    <row r="7" spans="1:16">
      <c r="A7" s="3">
        <v>6</v>
      </c>
      <c r="B7" s="3" t="s">
        <v>25</v>
      </c>
      <c r="C7" s="3" t="s">
        <v>4</v>
      </c>
      <c r="D7" s="3" t="s">
        <v>5</v>
      </c>
      <c r="E7" s="3"/>
      <c r="F7" s="3">
        <v>2005</v>
      </c>
      <c r="G7" s="3" t="s">
        <v>7</v>
      </c>
      <c r="H7" s="3" t="s">
        <v>8</v>
      </c>
      <c r="I7" s="3" t="s">
        <v>27</v>
      </c>
      <c r="J7" s="3" t="s">
        <v>408</v>
      </c>
      <c r="K7" s="3">
        <v>70673</v>
      </c>
      <c r="L7" s="3">
        <v>242.916666666667</v>
      </c>
      <c r="M7" s="3">
        <v>0</v>
      </c>
      <c r="N7" s="3">
        <v>0</v>
      </c>
      <c r="P7" t="s">
        <v>26</v>
      </c>
    </row>
    <row r="8" spans="1:16">
      <c r="A8" s="3">
        <v>7</v>
      </c>
      <c r="B8" s="3" t="s">
        <v>28</v>
      </c>
      <c r="C8" s="3" t="s">
        <v>4</v>
      </c>
      <c r="D8" s="3" t="s">
        <v>5</v>
      </c>
      <c r="E8" s="3" t="s">
        <v>23</v>
      </c>
      <c r="F8" s="3">
        <v>2005</v>
      </c>
      <c r="G8" s="3" t="s">
        <v>7</v>
      </c>
      <c r="H8" s="3" t="s">
        <v>8</v>
      </c>
      <c r="I8" s="3" t="s">
        <v>30</v>
      </c>
      <c r="J8" s="3" t="s">
        <v>420</v>
      </c>
      <c r="K8" s="3">
        <v>90466</v>
      </c>
      <c r="L8" s="3">
        <v>177.777777777778</v>
      </c>
      <c r="M8" s="3">
        <v>0.239935445360688</v>
      </c>
      <c r="N8" s="3">
        <v>21706</v>
      </c>
      <c r="P8" t="s">
        <v>29</v>
      </c>
    </row>
    <row r="9" spans="1:16">
      <c r="A9" s="3">
        <v>8</v>
      </c>
      <c r="B9" s="3" t="s">
        <v>31</v>
      </c>
      <c r="C9" s="3" t="s">
        <v>4</v>
      </c>
      <c r="D9" s="3" t="s">
        <v>5</v>
      </c>
      <c r="E9" s="3"/>
      <c r="F9" s="3">
        <v>2005</v>
      </c>
      <c r="G9" s="3" t="s">
        <v>7</v>
      </c>
      <c r="H9" s="3" t="s">
        <v>8</v>
      </c>
      <c r="I9" s="3" t="s">
        <v>32</v>
      </c>
      <c r="J9" s="3" t="s">
        <v>408</v>
      </c>
      <c r="K9" s="3">
        <v>46720</v>
      </c>
      <c r="L9" s="3">
        <v>198.333333333333</v>
      </c>
      <c r="M9" s="3">
        <v>7.4453553082191801E-2</v>
      </c>
      <c r="N9" s="3">
        <v>3478.47</v>
      </c>
      <c r="P9" t="s">
        <v>29</v>
      </c>
    </row>
    <row r="10" spans="1:16">
      <c r="A10" s="3">
        <v>9</v>
      </c>
      <c r="B10" s="3" t="s">
        <v>469</v>
      </c>
      <c r="C10" s="3" t="s">
        <v>4</v>
      </c>
      <c r="D10" s="3" t="s">
        <v>5</v>
      </c>
      <c r="E10" s="3" t="s">
        <v>23</v>
      </c>
      <c r="F10" s="3">
        <v>2006</v>
      </c>
      <c r="G10" s="3" t="s">
        <v>7</v>
      </c>
      <c r="H10" s="3" t="s">
        <v>8</v>
      </c>
      <c r="I10" s="5" t="s">
        <v>464</v>
      </c>
      <c r="J10" s="3" t="s">
        <v>408</v>
      </c>
      <c r="K10" s="3">
        <v>95000</v>
      </c>
      <c r="L10" s="3">
        <v>182.777777777778</v>
      </c>
      <c r="M10" s="3">
        <v>0.24465263157894701</v>
      </c>
      <c r="N10" s="3">
        <v>23242</v>
      </c>
      <c r="P10" t="s">
        <v>33</v>
      </c>
    </row>
    <row r="11" spans="1:16">
      <c r="A11" s="3">
        <v>10</v>
      </c>
      <c r="B11" s="3" t="s">
        <v>34</v>
      </c>
      <c r="C11" s="3" t="s">
        <v>4</v>
      </c>
      <c r="D11" s="3" t="s">
        <v>5</v>
      </c>
      <c r="E11" s="3" t="s">
        <v>23</v>
      </c>
      <c r="F11" s="3">
        <v>2007</v>
      </c>
      <c r="G11" s="3" t="s">
        <v>7</v>
      </c>
      <c r="H11" s="3" t="s">
        <v>8</v>
      </c>
      <c r="I11" s="3" t="s">
        <v>36</v>
      </c>
      <c r="J11" s="3" t="s">
        <v>420</v>
      </c>
      <c r="K11" s="3">
        <v>85300</v>
      </c>
      <c r="L11" s="3">
        <v>146.388888888889</v>
      </c>
      <c r="M11" s="3">
        <v>0.19929660023446699</v>
      </c>
      <c r="N11" s="3">
        <v>17000</v>
      </c>
      <c r="P11" t="s">
        <v>35</v>
      </c>
    </row>
    <row r="12" spans="1:16">
      <c r="A12" s="3">
        <v>11</v>
      </c>
      <c r="B12" s="3" t="s">
        <v>37</v>
      </c>
      <c r="C12" s="3" t="s">
        <v>4</v>
      </c>
      <c r="D12" s="3" t="s">
        <v>5</v>
      </c>
      <c r="E12" s="3" t="s">
        <v>16</v>
      </c>
      <c r="F12" s="3">
        <v>2007</v>
      </c>
      <c r="G12" s="3" t="s">
        <v>7</v>
      </c>
      <c r="H12" s="3" t="s">
        <v>8</v>
      </c>
      <c r="I12" s="3" t="s">
        <v>39</v>
      </c>
      <c r="J12" s="3" t="s">
        <v>408</v>
      </c>
      <c r="K12" s="3">
        <v>33305</v>
      </c>
      <c r="L12" s="3">
        <v>186.666666666667</v>
      </c>
      <c r="M12" s="3">
        <v>0.14799579642696301</v>
      </c>
      <c r="N12" s="3">
        <v>4929</v>
      </c>
      <c r="P12" t="s">
        <v>38</v>
      </c>
    </row>
    <row r="13" spans="1:16">
      <c r="A13" s="3">
        <v>12</v>
      </c>
      <c r="B13" s="3" t="s">
        <v>40</v>
      </c>
      <c r="C13" s="3" t="s">
        <v>4</v>
      </c>
      <c r="D13" s="3" t="s">
        <v>14</v>
      </c>
      <c r="E13" s="3" t="s">
        <v>23</v>
      </c>
      <c r="F13" s="3">
        <v>2007</v>
      </c>
      <c r="G13" s="3" t="s">
        <v>7</v>
      </c>
      <c r="H13" s="3" t="s">
        <v>8</v>
      </c>
      <c r="I13" s="6" t="s">
        <v>41</v>
      </c>
      <c r="J13" s="3" t="s">
        <v>420</v>
      </c>
      <c r="K13" s="3">
        <v>120245.21</v>
      </c>
      <c r="L13" s="3">
        <v>253.333333333333</v>
      </c>
      <c r="M13" s="3">
        <v>6.6680410803889797E-2</v>
      </c>
      <c r="N13" s="3">
        <v>8018</v>
      </c>
      <c r="P13" t="s">
        <v>38</v>
      </c>
    </row>
    <row r="14" spans="1:16">
      <c r="A14" s="3">
        <v>13</v>
      </c>
      <c r="B14" s="3" t="s">
        <v>42</v>
      </c>
      <c r="C14" s="3" t="s">
        <v>4</v>
      </c>
      <c r="D14" s="3" t="s">
        <v>14</v>
      </c>
      <c r="E14" s="3" t="s">
        <v>23</v>
      </c>
      <c r="F14" s="3">
        <v>2008</v>
      </c>
      <c r="G14" s="3" t="s">
        <v>7</v>
      </c>
      <c r="H14" s="3" t="s">
        <v>8</v>
      </c>
      <c r="I14" s="6" t="s">
        <v>41</v>
      </c>
      <c r="J14" s="3" t="s">
        <v>420</v>
      </c>
      <c r="K14" s="3">
        <v>70425.53</v>
      </c>
      <c r="L14" s="3">
        <v>253.333333333333</v>
      </c>
      <c r="M14" s="3">
        <v>9.3091241201876604E-2</v>
      </c>
      <c r="N14" s="3">
        <v>6556</v>
      </c>
      <c r="P14" t="s">
        <v>43</v>
      </c>
    </row>
    <row r="15" spans="1:16">
      <c r="A15" s="3">
        <v>14</v>
      </c>
      <c r="B15" s="3" t="s">
        <v>44</v>
      </c>
      <c r="C15" s="3" t="s">
        <v>4</v>
      </c>
      <c r="D15" s="3" t="s">
        <v>14</v>
      </c>
      <c r="E15" s="3" t="s">
        <v>23</v>
      </c>
      <c r="F15" s="3">
        <v>2007</v>
      </c>
      <c r="G15" s="3" t="s">
        <v>7</v>
      </c>
      <c r="H15" s="3" t="s">
        <v>8</v>
      </c>
      <c r="I15" s="3" t="s">
        <v>45</v>
      </c>
      <c r="J15" s="3" t="s">
        <v>420</v>
      </c>
      <c r="K15" s="3">
        <v>78000</v>
      </c>
      <c r="L15" s="3">
        <v>258.33333333333297</v>
      </c>
      <c r="M15" s="3">
        <v>0.15384615384615399</v>
      </c>
      <c r="N15" s="3">
        <v>12000</v>
      </c>
      <c r="P15" t="s">
        <v>38</v>
      </c>
    </row>
    <row r="16" spans="1:16">
      <c r="A16" s="3">
        <v>15</v>
      </c>
      <c r="B16" s="3" t="s">
        <v>46</v>
      </c>
      <c r="C16" s="3" t="s">
        <v>4</v>
      </c>
      <c r="D16" s="3" t="s">
        <v>5</v>
      </c>
      <c r="E16" s="3" t="s">
        <v>23</v>
      </c>
      <c r="F16" s="3">
        <v>2007</v>
      </c>
      <c r="G16" s="3" t="s">
        <v>7</v>
      </c>
      <c r="H16" s="3" t="s">
        <v>8</v>
      </c>
      <c r="I16" s="3" t="s">
        <v>48</v>
      </c>
      <c r="J16" s="3" t="s">
        <v>408</v>
      </c>
      <c r="K16" s="3">
        <v>102796</v>
      </c>
      <c r="L16" s="3">
        <v>200</v>
      </c>
      <c r="M16" s="3">
        <v>0.170955095529009</v>
      </c>
      <c r="N16" s="3">
        <v>17573.5</v>
      </c>
      <c r="P16" t="s">
        <v>47</v>
      </c>
    </row>
    <row r="17" spans="1:16">
      <c r="A17" s="3">
        <v>16</v>
      </c>
      <c r="B17" s="3" t="s">
        <v>49</v>
      </c>
      <c r="C17" s="3" t="s">
        <v>4</v>
      </c>
      <c r="D17" s="3" t="s">
        <v>5</v>
      </c>
      <c r="E17" s="3" t="s">
        <v>16</v>
      </c>
      <c r="F17" s="3">
        <v>2007</v>
      </c>
      <c r="G17" s="3" t="s">
        <v>7</v>
      </c>
      <c r="H17" s="3" t="s">
        <v>8</v>
      </c>
      <c r="I17" s="3" t="s">
        <v>50</v>
      </c>
      <c r="J17" s="3" t="s">
        <v>408</v>
      </c>
      <c r="K17" s="3">
        <v>49200</v>
      </c>
      <c r="L17" s="3">
        <v>191.666666666667</v>
      </c>
      <c r="M17" s="3">
        <v>9.3665650406504097E-2</v>
      </c>
      <c r="N17" s="3">
        <v>4608.3500000000004</v>
      </c>
      <c r="P17" t="s">
        <v>47</v>
      </c>
    </row>
    <row r="18" spans="1:16">
      <c r="A18" s="3">
        <v>17</v>
      </c>
      <c r="B18" s="3" t="s">
        <v>51</v>
      </c>
      <c r="C18" s="3" t="s">
        <v>4</v>
      </c>
      <c r="D18" s="3" t="s">
        <v>5</v>
      </c>
      <c r="E18" s="3" t="s">
        <v>23</v>
      </c>
      <c r="F18" s="3">
        <v>2008</v>
      </c>
      <c r="G18" s="3" t="s">
        <v>7</v>
      </c>
      <c r="H18" s="3" t="s">
        <v>8</v>
      </c>
      <c r="I18" s="3" t="s">
        <v>52</v>
      </c>
      <c r="J18" s="3" t="s">
        <v>408</v>
      </c>
      <c r="K18" s="3">
        <v>65096</v>
      </c>
      <c r="L18" s="3">
        <v>186.666666666667</v>
      </c>
      <c r="M18" s="3">
        <v>0.12122096595796999</v>
      </c>
      <c r="N18" s="3">
        <v>7891</v>
      </c>
      <c r="P18" t="s">
        <v>43</v>
      </c>
    </row>
    <row r="19" spans="1:16">
      <c r="A19" s="3">
        <v>18</v>
      </c>
      <c r="B19" s="3" t="s">
        <v>53</v>
      </c>
      <c r="C19" s="3" t="s">
        <v>4</v>
      </c>
      <c r="D19" s="3" t="s">
        <v>5</v>
      </c>
      <c r="E19" s="3" t="s">
        <v>16</v>
      </c>
      <c r="F19" s="3">
        <v>2008</v>
      </c>
      <c r="G19" s="3" t="s">
        <v>7</v>
      </c>
      <c r="H19" s="3" t="s">
        <v>8</v>
      </c>
      <c r="I19" s="3" t="s">
        <v>55</v>
      </c>
      <c r="J19" s="3" t="s">
        <v>420</v>
      </c>
      <c r="K19" s="3">
        <v>56000</v>
      </c>
      <c r="L19" s="3">
        <v>177.222222222222</v>
      </c>
      <c r="M19" s="3">
        <v>8.2446428571428601E-2</v>
      </c>
      <c r="N19" s="3">
        <v>4617</v>
      </c>
      <c r="P19" t="s">
        <v>54</v>
      </c>
    </row>
    <row r="20" spans="1:16">
      <c r="A20" s="3">
        <v>19</v>
      </c>
      <c r="B20" s="3" t="s">
        <v>56</v>
      </c>
      <c r="C20" s="3" t="s">
        <v>4</v>
      </c>
      <c r="D20" s="3" t="s">
        <v>14</v>
      </c>
      <c r="E20" s="3" t="s">
        <v>23</v>
      </c>
      <c r="F20" s="3">
        <v>2008</v>
      </c>
      <c r="G20" s="3" t="s">
        <v>7</v>
      </c>
      <c r="H20" s="3" t="s">
        <v>8</v>
      </c>
      <c r="I20" s="3" t="s">
        <v>58</v>
      </c>
      <c r="J20" s="3" t="s">
        <v>408</v>
      </c>
      <c r="K20" s="3">
        <v>177847</v>
      </c>
      <c r="L20" s="3">
        <v>200</v>
      </c>
      <c r="M20" s="3">
        <v>0.27326859604041698</v>
      </c>
      <c r="N20" s="3">
        <v>48600</v>
      </c>
      <c r="P20" t="s">
        <v>57</v>
      </c>
    </row>
    <row r="21" spans="1:16">
      <c r="A21" s="3">
        <v>20</v>
      </c>
      <c r="B21" s="3" t="s">
        <v>59</v>
      </c>
      <c r="C21" s="3" t="s">
        <v>4</v>
      </c>
      <c r="D21" s="3" t="s">
        <v>5</v>
      </c>
      <c r="E21" s="3" t="s">
        <v>23</v>
      </c>
      <c r="F21" s="3">
        <v>2009</v>
      </c>
      <c r="G21" s="3" t="s">
        <v>7</v>
      </c>
      <c r="H21" s="3" t="s">
        <v>8</v>
      </c>
      <c r="I21" s="3" t="s">
        <v>61</v>
      </c>
      <c r="J21" s="3" t="s">
        <v>420</v>
      </c>
      <c r="K21" s="3">
        <v>83000</v>
      </c>
      <c r="L21" s="3">
        <v>185.138888888889</v>
      </c>
      <c r="M21" s="3">
        <v>0.120481927710843</v>
      </c>
      <c r="N21" s="3">
        <v>10000</v>
      </c>
      <c r="P21" t="s">
        <v>60</v>
      </c>
    </row>
    <row r="22" spans="1:16">
      <c r="A22" s="3">
        <v>21</v>
      </c>
      <c r="B22" s="3" t="s">
        <v>62</v>
      </c>
      <c r="C22" s="3" t="s">
        <v>4</v>
      </c>
      <c r="D22" s="3" t="s">
        <v>5</v>
      </c>
      <c r="E22" s="3"/>
      <c r="F22" s="3">
        <v>2009</v>
      </c>
      <c r="G22" s="3" t="s">
        <v>7</v>
      </c>
      <c r="H22" s="3" t="s">
        <v>8</v>
      </c>
      <c r="I22" s="4" t="s">
        <v>448</v>
      </c>
      <c r="J22" s="3" t="s">
        <v>408</v>
      </c>
      <c r="K22" s="3">
        <v>26000</v>
      </c>
      <c r="L22" s="3">
        <v>222.222222222222</v>
      </c>
      <c r="M22" s="3">
        <v>3.8461538461538498E-2</v>
      </c>
      <c r="N22" s="3">
        <v>1000</v>
      </c>
      <c r="P22" t="s">
        <v>63</v>
      </c>
    </row>
    <row r="23" spans="1:16">
      <c r="A23" s="3">
        <v>22</v>
      </c>
      <c r="B23" s="3" t="s">
        <v>64</v>
      </c>
      <c r="C23" s="3" t="s">
        <v>4</v>
      </c>
      <c r="D23" s="3" t="s">
        <v>5</v>
      </c>
      <c r="E23" s="3" t="s">
        <v>23</v>
      </c>
      <c r="F23" s="3">
        <v>2009</v>
      </c>
      <c r="G23" s="3" t="s">
        <v>7</v>
      </c>
      <c r="H23" s="3" t="s">
        <v>8</v>
      </c>
      <c r="I23" s="3" t="s">
        <v>65</v>
      </c>
      <c r="J23" s="3" t="s">
        <v>420</v>
      </c>
      <c r="K23" s="3">
        <v>85887</v>
      </c>
      <c r="L23" s="3">
        <v>193.75</v>
      </c>
      <c r="M23" s="3">
        <v>0.21099817201672</v>
      </c>
      <c r="N23" s="3">
        <v>18122</v>
      </c>
    </row>
    <row r="24" spans="1:16">
      <c r="A24" s="3">
        <v>23</v>
      </c>
      <c r="B24" s="3" t="s">
        <v>66</v>
      </c>
      <c r="C24" s="3" t="s">
        <v>4</v>
      </c>
      <c r="D24" s="3" t="s">
        <v>5</v>
      </c>
      <c r="E24" s="3" t="s">
        <v>23</v>
      </c>
      <c r="F24" s="3">
        <v>2009</v>
      </c>
      <c r="G24" s="3" t="s">
        <v>7</v>
      </c>
      <c r="H24" s="3" t="s">
        <v>8</v>
      </c>
      <c r="I24" s="3" t="s">
        <v>67</v>
      </c>
      <c r="J24" s="3" t="s">
        <v>420</v>
      </c>
      <c r="K24" s="3">
        <v>20000</v>
      </c>
      <c r="L24" s="3">
        <v>163.611111111111</v>
      </c>
      <c r="M24" s="3">
        <v>0.58565</v>
      </c>
      <c r="N24" s="3">
        <v>11713</v>
      </c>
    </row>
    <row r="25" spans="1:16">
      <c r="A25" s="3">
        <v>24</v>
      </c>
      <c r="B25" s="6" t="s">
        <v>470</v>
      </c>
      <c r="C25" s="3" t="s">
        <v>4</v>
      </c>
      <c r="D25" s="3" t="s">
        <v>5</v>
      </c>
      <c r="E25" s="3" t="s">
        <v>23</v>
      </c>
      <c r="F25" s="3">
        <v>2011</v>
      </c>
      <c r="G25" s="3" t="s">
        <v>7</v>
      </c>
      <c r="H25" s="3" t="s">
        <v>8</v>
      </c>
      <c r="I25" s="6" t="s">
        <v>468</v>
      </c>
      <c r="J25" s="3" t="s">
        <v>420</v>
      </c>
      <c r="K25" s="3">
        <v>146385</v>
      </c>
      <c r="L25" s="3">
        <v>236.805555555555</v>
      </c>
      <c r="M25" s="3">
        <v>7.68931242955221E-2</v>
      </c>
      <c r="N25" s="3">
        <v>11256</v>
      </c>
      <c r="P25" t="s">
        <v>68</v>
      </c>
    </row>
    <row r="26" spans="1:16">
      <c r="A26" s="3">
        <v>25</v>
      </c>
      <c r="B26" s="3" t="s">
        <v>69</v>
      </c>
      <c r="C26" s="3" t="s">
        <v>4</v>
      </c>
      <c r="D26" s="3" t="s">
        <v>14</v>
      </c>
      <c r="E26" s="3" t="s">
        <v>23</v>
      </c>
      <c r="F26" s="3">
        <v>2011</v>
      </c>
      <c r="G26" s="3" t="s">
        <v>7</v>
      </c>
      <c r="H26" s="3" t="s">
        <v>8</v>
      </c>
      <c r="I26" s="3" t="s">
        <v>71</v>
      </c>
      <c r="J26" s="3" t="s">
        <v>420</v>
      </c>
      <c r="K26" s="3">
        <v>87000</v>
      </c>
      <c r="L26" s="3">
        <v>208.333333333333</v>
      </c>
      <c r="M26" s="3">
        <v>0.17591954022988501</v>
      </c>
      <c r="N26" s="3">
        <v>15305</v>
      </c>
      <c r="P26" t="s">
        <v>70</v>
      </c>
    </row>
    <row r="27" spans="1:16">
      <c r="A27" s="3">
        <v>26</v>
      </c>
      <c r="B27" s="3" t="s">
        <v>72</v>
      </c>
      <c r="C27" s="3" t="s">
        <v>4</v>
      </c>
      <c r="D27" s="3" t="s">
        <v>14</v>
      </c>
      <c r="E27" s="3" t="s">
        <v>23</v>
      </c>
      <c r="F27" s="3">
        <v>2013</v>
      </c>
      <c r="G27" s="3" t="s">
        <v>7</v>
      </c>
      <c r="H27" s="3" t="s">
        <v>8</v>
      </c>
      <c r="I27" s="3" t="s">
        <v>74</v>
      </c>
      <c r="J27" s="3" t="s">
        <v>420</v>
      </c>
      <c r="K27" s="3">
        <v>147166.79999999999</v>
      </c>
      <c r="L27" s="3">
        <v>237.638888888889</v>
      </c>
      <c r="M27" s="3">
        <v>0.139997608156187</v>
      </c>
      <c r="N27" s="3">
        <v>20603</v>
      </c>
      <c r="P27" t="s">
        <v>73</v>
      </c>
    </row>
    <row r="28" spans="1:16">
      <c r="A28" s="3">
        <v>27</v>
      </c>
      <c r="B28" s="3" t="s">
        <v>75</v>
      </c>
      <c r="C28" s="3" t="s">
        <v>4</v>
      </c>
      <c r="D28" s="3" t="s">
        <v>5</v>
      </c>
      <c r="E28" s="3" t="s">
        <v>16</v>
      </c>
      <c r="F28" s="3">
        <v>2014</v>
      </c>
      <c r="G28" s="3" t="s">
        <v>7</v>
      </c>
      <c r="H28" s="3" t="s">
        <v>8</v>
      </c>
      <c r="I28" s="3" t="s">
        <v>77</v>
      </c>
      <c r="J28" s="3" t="s">
        <v>420</v>
      </c>
      <c r="K28" s="3">
        <v>46063</v>
      </c>
      <c r="L28" s="3">
        <v>160</v>
      </c>
      <c r="M28" s="3">
        <v>9.1418274971235003E-2</v>
      </c>
      <c r="N28" s="3">
        <v>4211</v>
      </c>
      <c r="P28" t="s">
        <v>76</v>
      </c>
    </row>
    <row r="29" spans="1:16">
      <c r="A29" s="3">
        <v>28</v>
      </c>
      <c r="B29" s="3" t="s">
        <v>78</v>
      </c>
      <c r="C29" s="3" t="s">
        <v>4</v>
      </c>
      <c r="D29" s="3" t="s">
        <v>5</v>
      </c>
      <c r="E29" s="3" t="s">
        <v>23</v>
      </c>
      <c r="F29" s="3">
        <v>2017</v>
      </c>
      <c r="G29" s="3" t="s">
        <v>7</v>
      </c>
      <c r="H29" s="3" t="s">
        <v>8</v>
      </c>
      <c r="I29" s="3" t="s">
        <v>80</v>
      </c>
      <c r="J29" s="3" t="s">
        <v>408</v>
      </c>
      <c r="K29" s="3">
        <v>47261</v>
      </c>
      <c r="L29" s="3">
        <v>241.666666666667</v>
      </c>
      <c r="M29" s="3">
        <v>0.23315566746365901</v>
      </c>
      <c r="N29" s="3">
        <v>11019.17</v>
      </c>
      <c r="P29" t="s">
        <v>79</v>
      </c>
    </row>
    <row r="30" spans="1:16">
      <c r="A30" s="3">
        <v>29</v>
      </c>
      <c r="B30" s="7" t="s">
        <v>471</v>
      </c>
      <c r="C30" s="3" t="s">
        <v>4</v>
      </c>
      <c r="D30" s="3" t="s">
        <v>14</v>
      </c>
      <c r="E30" s="3" t="s">
        <v>23</v>
      </c>
      <c r="F30" s="3">
        <v>2019</v>
      </c>
      <c r="G30" s="3" t="s">
        <v>7</v>
      </c>
      <c r="H30" s="7" t="s">
        <v>424</v>
      </c>
      <c r="I30" s="7" t="s">
        <v>425</v>
      </c>
      <c r="J30" s="3" t="s">
        <v>420</v>
      </c>
      <c r="K30" s="3">
        <v>119000</v>
      </c>
      <c r="L30" s="3">
        <v>333.33333333333297</v>
      </c>
      <c r="M30" s="3">
        <v>0.15546218487395</v>
      </c>
      <c r="N30" s="3">
        <v>18500</v>
      </c>
      <c r="P30" t="s">
        <v>81</v>
      </c>
    </row>
    <row r="31" spans="1:16">
      <c r="A31" s="3">
        <v>30</v>
      </c>
      <c r="B31" s="3" t="s">
        <v>83</v>
      </c>
      <c r="C31" s="3" t="s">
        <v>4</v>
      </c>
      <c r="D31" s="3" t="s">
        <v>5</v>
      </c>
      <c r="E31" s="3"/>
      <c r="F31" s="3">
        <v>2019</v>
      </c>
      <c r="G31" s="3" t="s">
        <v>7</v>
      </c>
      <c r="H31" s="3" t="s">
        <v>8</v>
      </c>
      <c r="I31" s="4" t="s">
        <v>442</v>
      </c>
      <c r="J31" s="3" t="s">
        <v>408</v>
      </c>
      <c r="K31" s="3">
        <v>47000</v>
      </c>
      <c r="L31" s="3">
        <v>330.55555555555497</v>
      </c>
      <c r="M31" s="3">
        <v>0.125228723404255</v>
      </c>
      <c r="N31" s="3">
        <v>5885.75</v>
      </c>
      <c r="P31" t="s">
        <v>84</v>
      </c>
    </row>
    <row r="32" spans="1:16">
      <c r="A32" s="3">
        <v>31</v>
      </c>
      <c r="B32" s="3" t="s">
        <v>85</v>
      </c>
      <c r="C32" s="3" t="s">
        <v>4</v>
      </c>
      <c r="D32" s="3" t="s">
        <v>14</v>
      </c>
      <c r="E32" s="3" t="s">
        <v>16</v>
      </c>
      <c r="F32" s="3">
        <v>2019</v>
      </c>
      <c r="G32" s="3" t="s">
        <v>7</v>
      </c>
      <c r="H32" s="3" t="s">
        <v>8</v>
      </c>
      <c r="I32" s="3" t="s">
        <v>86</v>
      </c>
      <c r="J32" s="3" t="s">
        <v>408</v>
      </c>
      <c r="K32" s="3">
        <v>186000</v>
      </c>
      <c r="L32" s="3">
        <v>258.33333333333297</v>
      </c>
      <c r="M32" s="3">
        <v>9.6774193548387094E-2</v>
      </c>
      <c r="N32" s="3">
        <v>18000</v>
      </c>
      <c r="P32" t="s">
        <v>84</v>
      </c>
    </row>
    <row r="33" spans="1:16">
      <c r="A33" s="3">
        <v>32</v>
      </c>
      <c r="B33" s="3" t="s">
        <v>87</v>
      </c>
      <c r="C33" s="3" t="s">
        <v>4</v>
      </c>
      <c r="D33" s="3" t="s">
        <v>5</v>
      </c>
      <c r="E33" s="3"/>
      <c r="F33" s="3">
        <v>2019</v>
      </c>
      <c r="G33" s="3" t="s">
        <v>7</v>
      </c>
      <c r="H33" s="3" t="s">
        <v>8</v>
      </c>
      <c r="I33" s="3" t="s">
        <v>88</v>
      </c>
      <c r="J33" s="3" t="s">
        <v>420</v>
      </c>
      <c r="K33" s="3">
        <v>40800</v>
      </c>
      <c r="L33" s="3">
        <v>194.555555555555</v>
      </c>
      <c r="M33" s="3">
        <v>0.49509803921568601</v>
      </c>
      <c r="N33" s="3">
        <v>20200</v>
      </c>
    </row>
    <row r="34" spans="1:16">
      <c r="A34" s="3">
        <v>33</v>
      </c>
      <c r="B34" s="3" t="s">
        <v>89</v>
      </c>
      <c r="C34" s="3" t="s">
        <v>4</v>
      </c>
      <c r="D34" s="3" t="s">
        <v>5</v>
      </c>
      <c r="E34" s="3"/>
      <c r="F34" s="3">
        <v>2019</v>
      </c>
      <c r="G34" s="3" t="s">
        <v>7</v>
      </c>
      <c r="H34" s="3" t="s">
        <v>8</v>
      </c>
      <c r="I34" s="4" t="s">
        <v>447</v>
      </c>
      <c r="J34" s="3" t="s">
        <v>420</v>
      </c>
      <c r="K34" s="3">
        <v>55200</v>
      </c>
      <c r="L34" s="3">
        <v>198.055555555555</v>
      </c>
      <c r="M34" s="3">
        <v>0.94927536231884102</v>
      </c>
      <c r="N34" s="3">
        <v>52400</v>
      </c>
      <c r="P34" t="s">
        <v>90</v>
      </c>
    </row>
    <row r="35" spans="1:16">
      <c r="A35" s="3">
        <v>34</v>
      </c>
      <c r="B35" s="3" t="s">
        <v>91</v>
      </c>
      <c r="C35" s="3" t="s">
        <v>4</v>
      </c>
      <c r="D35" s="3" t="s">
        <v>14</v>
      </c>
      <c r="E35" s="3" t="s">
        <v>16</v>
      </c>
      <c r="F35" s="3">
        <v>2019</v>
      </c>
      <c r="G35" s="3" t="s">
        <v>7</v>
      </c>
      <c r="H35" s="3" t="s">
        <v>8</v>
      </c>
      <c r="I35" s="3" t="s">
        <v>92</v>
      </c>
      <c r="J35" s="3" t="s">
        <v>408</v>
      </c>
      <c r="K35" s="3">
        <v>350000</v>
      </c>
      <c r="L35" s="3">
        <v>462.777777777778</v>
      </c>
      <c r="M35" s="3">
        <v>6.27571428571429E-2</v>
      </c>
      <c r="N35" s="3">
        <v>21965</v>
      </c>
      <c r="P35" t="s">
        <v>90</v>
      </c>
    </row>
    <row r="36" spans="1:16">
      <c r="A36" s="3">
        <v>35</v>
      </c>
      <c r="B36" s="3" t="s">
        <v>93</v>
      </c>
      <c r="C36" s="3" t="s">
        <v>4</v>
      </c>
      <c r="D36" s="3" t="s">
        <v>14</v>
      </c>
      <c r="E36" s="3" t="s">
        <v>23</v>
      </c>
      <c r="F36" s="3">
        <v>2020</v>
      </c>
      <c r="G36" s="3" t="s">
        <v>7</v>
      </c>
      <c r="H36" s="3" t="s">
        <v>8</v>
      </c>
      <c r="I36" s="4" t="s">
        <v>445</v>
      </c>
      <c r="J36" s="3" t="s">
        <v>420</v>
      </c>
      <c r="K36" s="3">
        <v>65000</v>
      </c>
      <c r="L36" s="3">
        <v>191.666666666667</v>
      </c>
      <c r="M36" s="3">
        <v>0.31316923076923098</v>
      </c>
      <c r="N36" s="3">
        <v>20356</v>
      </c>
    </row>
    <row r="37" spans="1:16">
      <c r="A37" s="3">
        <v>36</v>
      </c>
      <c r="B37" s="3" t="s">
        <v>94</v>
      </c>
      <c r="C37" s="3" t="s">
        <v>4</v>
      </c>
      <c r="D37" s="3" t="s">
        <v>14</v>
      </c>
      <c r="E37" s="3" t="s">
        <v>23</v>
      </c>
      <c r="F37" s="3">
        <v>2020</v>
      </c>
      <c r="G37" s="3" t="s">
        <v>7</v>
      </c>
      <c r="H37" s="3" t="s">
        <v>8</v>
      </c>
      <c r="I37" s="3" t="s">
        <v>446</v>
      </c>
      <c r="J37" s="3" t="s">
        <v>420</v>
      </c>
      <c r="K37" s="3">
        <v>35000</v>
      </c>
      <c r="L37" s="3">
        <v>208.333333333333</v>
      </c>
      <c r="M37" s="3">
        <v>0.23714285714285699</v>
      </c>
      <c r="N37" s="3">
        <v>8300</v>
      </c>
    </row>
    <row r="38" spans="1:16">
      <c r="A38" s="3">
        <v>37</v>
      </c>
      <c r="B38" s="3" t="s">
        <v>95</v>
      </c>
      <c r="C38" s="3" t="s">
        <v>4</v>
      </c>
      <c r="D38" s="3" t="s">
        <v>5</v>
      </c>
      <c r="E38" s="3" t="s">
        <v>23</v>
      </c>
      <c r="F38" s="3">
        <v>2010</v>
      </c>
      <c r="G38" s="3" t="s">
        <v>7</v>
      </c>
      <c r="H38" s="3" t="s">
        <v>8</v>
      </c>
      <c r="I38" s="3" t="s">
        <v>96</v>
      </c>
      <c r="J38" s="3" t="s">
        <v>408</v>
      </c>
      <c r="K38" s="3">
        <v>47000</v>
      </c>
      <c r="L38" s="3">
        <v>157.5</v>
      </c>
      <c r="M38" s="3">
        <v>5.7446808510638298E-2</v>
      </c>
      <c r="N38" s="3">
        <v>2700</v>
      </c>
    </row>
    <row r="39" spans="1:16">
      <c r="A39" s="3">
        <v>38</v>
      </c>
      <c r="B39" s="3" t="s">
        <v>97</v>
      </c>
      <c r="C39" s="3" t="s">
        <v>4</v>
      </c>
      <c r="D39" s="3" t="s">
        <v>14</v>
      </c>
      <c r="E39" s="3" t="s">
        <v>23</v>
      </c>
      <c r="F39" s="3">
        <v>2021</v>
      </c>
      <c r="G39" s="3" t="s">
        <v>7</v>
      </c>
      <c r="H39" s="3" t="s">
        <v>8</v>
      </c>
      <c r="I39" s="3" t="s">
        <v>99</v>
      </c>
      <c r="J39" s="3" t="s">
        <v>408</v>
      </c>
      <c r="K39" s="3">
        <v>120000</v>
      </c>
      <c r="L39" s="3">
        <v>241.666666666667</v>
      </c>
      <c r="M39" s="3">
        <v>0.03</v>
      </c>
      <c r="N39" s="3">
        <v>3600</v>
      </c>
      <c r="P39" t="s">
        <v>98</v>
      </c>
    </row>
    <row r="40" spans="1:16">
      <c r="A40" s="3">
        <v>39</v>
      </c>
      <c r="B40" s="3" t="s">
        <v>472</v>
      </c>
      <c r="C40" s="3" t="s">
        <v>4</v>
      </c>
      <c r="D40" s="3" t="s">
        <v>5</v>
      </c>
      <c r="E40" s="3"/>
      <c r="F40" s="3">
        <v>2021</v>
      </c>
      <c r="G40" s="3" t="s">
        <v>7</v>
      </c>
      <c r="H40" s="3" t="s">
        <v>8</v>
      </c>
      <c r="I40" s="3" t="s">
        <v>100</v>
      </c>
      <c r="J40" s="3" t="s">
        <v>420</v>
      </c>
      <c r="K40" s="3">
        <v>83000</v>
      </c>
      <c r="L40" s="3">
        <v>122.777777777778</v>
      </c>
      <c r="M40" s="3">
        <v>0.219493975903614</v>
      </c>
      <c r="N40" s="3">
        <v>18218</v>
      </c>
      <c r="P40">
        <v>2021</v>
      </c>
    </row>
    <row r="41" spans="1:16">
      <c r="A41" s="3">
        <v>40</v>
      </c>
      <c r="B41" s="3" t="s">
        <v>101</v>
      </c>
      <c r="C41" s="3" t="s">
        <v>4</v>
      </c>
      <c r="D41" s="3" t="s">
        <v>14</v>
      </c>
      <c r="E41" s="3" t="s">
        <v>16</v>
      </c>
      <c r="F41" s="3">
        <v>2021</v>
      </c>
      <c r="G41" s="3" t="s">
        <v>7</v>
      </c>
      <c r="H41" s="3" t="s">
        <v>8</v>
      </c>
      <c r="I41" s="3" t="s">
        <v>102</v>
      </c>
      <c r="J41" s="3" t="s">
        <v>408</v>
      </c>
      <c r="K41" s="3">
        <v>66030</v>
      </c>
      <c r="L41" s="3">
        <v>284.16666666666703</v>
      </c>
      <c r="M41" s="3">
        <v>0.14162153566560701</v>
      </c>
      <c r="N41" s="3">
        <v>9351.27</v>
      </c>
    </row>
    <row r="42" spans="1:16">
      <c r="A42" s="3">
        <v>41</v>
      </c>
      <c r="B42" s="3" t="s">
        <v>103</v>
      </c>
      <c r="C42" s="3" t="s">
        <v>4</v>
      </c>
      <c r="D42" s="3" t="s">
        <v>5</v>
      </c>
      <c r="E42" s="3" t="s">
        <v>23</v>
      </c>
      <c r="F42" s="3">
        <v>2009</v>
      </c>
      <c r="G42" s="3" t="s">
        <v>7</v>
      </c>
      <c r="H42" s="3" t="s">
        <v>8</v>
      </c>
      <c r="I42" s="3" t="s">
        <v>104</v>
      </c>
      <c r="J42" s="3" t="s">
        <v>408</v>
      </c>
      <c r="K42" s="3">
        <v>40000</v>
      </c>
      <c r="L42" s="3">
        <v>186.666666666667</v>
      </c>
      <c r="M42" s="3">
        <v>0.06</v>
      </c>
      <c r="N42" s="3">
        <v>2400</v>
      </c>
    </row>
    <row r="43" spans="1:16">
      <c r="A43" s="3">
        <v>42</v>
      </c>
      <c r="B43" s="3" t="s">
        <v>473</v>
      </c>
      <c r="C43" s="3" t="s">
        <v>105</v>
      </c>
      <c r="D43" s="3" t="s">
        <v>5</v>
      </c>
      <c r="E43" s="3" t="s">
        <v>16</v>
      </c>
      <c r="F43" s="3">
        <v>1996</v>
      </c>
      <c r="G43" s="3" t="s">
        <v>7</v>
      </c>
      <c r="H43" s="3" t="s">
        <v>107</v>
      </c>
      <c r="I43" s="3" t="s">
        <v>108</v>
      </c>
      <c r="J43" s="3" t="s">
        <v>420</v>
      </c>
      <c r="K43" s="3">
        <v>40000</v>
      </c>
      <c r="L43" s="3">
        <v>178.75</v>
      </c>
      <c r="M43" s="3">
        <v>0.108875</v>
      </c>
      <c r="N43" s="3">
        <v>4355</v>
      </c>
      <c r="P43" s="2" t="s">
        <v>106</v>
      </c>
    </row>
    <row r="44" spans="1:16">
      <c r="A44" s="3">
        <v>43</v>
      </c>
      <c r="B44" s="3" t="s">
        <v>474</v>
      </c>
      <c r="C44" s="3" t="s">
        <v>105</v>
      </c>
      <c r="D44" s="3" t="s">
        <v>5</v>
      </c>
      <c r="E44" s="3"/>
      <c r="F44" s="3">
        <v>1999</v>
      </c>
      <c r="G44" s="3" t="s">
        <v>7</v>
      </c>
      <c r="H44" s="3" t="s">
        <v>107</v>
      </c>
      <c r="I44" s="3" t="s">
        <v>110</v>
      </c>
      <c r="J44" s="3" t="s">
        <v>420</v>
      </c>
      <c r="K44" s="3">
        <v>54100</v>
      </c>
      <c r="L44" s="3">
        <v>198.055555555555</v>
      </c>
      <c r="M44" s="3">
        <v>0.209593345656192</v>
      </c>
      <c r="N44" s="3">
        <v>11339</v>
      </c>
      <c r="P44" t="s">
        <v>109</v>
      </c>
    </row>
    <row r="45" spans="1:16">
      <c r="A45" s="3">
        <v>44</v>
      </c>
      <c r="B45" s="7" t="s">
        <v>111</v>
      </c>
      <c r="C45" s="3" t="s">
        <v>105</v>
      </c>
      <c r="D45" s="3" t="s">
        <v>5</v>
      </c>
      <c r="E45" s="3" t="s">
        <v>23</v>
      </c>
      <c r="F45" s="3">
        <v>2000</v>
      </c>
      <c r="G45" s="3" t="s">
        <v>7</v>
      </c>
      <c r="H45" s="3" t="s">
        <v>107</v>
      </c>
      <c r="I45" s="4" t="s">
        <v>453</v>
      </c>
      <c r="J45" s="3" t="s">
        <v>420</v>
      </c>
      <c r="K45" s="3">
        <v>100000</v>
      </c>
      <c r="L45" s="3">
        <v>222.222222222222</v>
      </c>
      <c r="M45" s="3">
        <v>0.1</v>
      </c>
      <c r="N45" s="3">
        <v>10000</v>
      </c>
      <c r="P45" t="s">
        <v>112</v>
      </c>
    </row>
    <row r="46" spans="1:16">
      <c r="A46" s="3">
        <v>45</v>
      </c>
      <c r="B46" s="7" t="s">
        <v>113</v>
      </c>
      <c r="C46" s="3" t="s">
        <v>105</v>
      </c>
      <c r="D46" s="3" t="s">
        <v>5</v>
      </c>
      <c r="E46" s="3" t="s">
        <v>23</v>
      </c>
      <c r="F46" s="3">
        <v>2001</v>
      </c>
      <c r="G46" s="3" t="s">
        <v>7</v>
      </c>
      <c r="H46" s="3" t="s">
        <v>107</v>
      </c>
      <c r="I46" s="4" t="s">
        <v>454</v>
      </c>
      <c r="J46" s="3" t="s">
        <v>420</v>
      </c>
      <c r="K46" s="3">
        <v>150000</v>
      </c>
      <c r="L46" s="3">
        <v>229.166666666667</v>
      </c>
      <c r="M46" s="3">
        <v>0.05</v>
      </c>
      <c r="N46" s="3">
        <v>7500</v>
      </c>
      <c r="P46" t="s">
        <v>114</v>
      </c>
    </row>
    <row r="47" spans="1:16">
      <c r="A47" s="3">
        <v>46</v>
      </c>
      <c r="B47" s="7" t="s">
        <v>115</v>
      </c>
      <c r="C47" s="3" t="s">
        <v>105</v>
      </c>
      <c r="D47" s="3" t="s">
        <v>5</v>
      </c>
      <c r="E47" s="3" t="s">
        <v>23</v>
      </c>
      <c r="F47" s="3">
        <v>2002</v>
      </c>
      <c r="G47" s="3" t="s">
        <v>7</v>
      </c>
      <c r="H47" s="3" t="s">
        <v>107</v>
      </c>
      <c r="I47" s="4" t="s">
        <v>455</v>
      </c>
      <c r="J47" s="3" t="s">
        <v>420</v>
      </c>
      <c r="K47" s="3">
        <v>50000</v>
      </c>
      <c r="L47" s="3">
        <v>231.111111111111</v>
      </c>
      <c r="M47" s="3">
        <v>0.02</v>
      </c>
      <c r="N47" s="3">
        <v>1000</v>
      </c>
      <c r="P47" t="s">
        <v>116</v>
      </c>
    </row>
    <row r="48" spans="1:16">
      <c r="A48" s="3">
        <v>47</v>
      </c>
      <c r="B48" s="3" t="s">
        <v>117</v>
      </c>
      <c r="C48" s="3" t="s">
        <v>105</v>
      </c>
      <c r="D48" s="3" t="s">
        <v>5</v>
      </c>
      <c r="E48" s="3" t="s">
        <v>23</v>
      </c>
      <c r="F48" s="3">
        <v>2005</v>
      </c>
      <c r="G48" s="3" t="s">
        <v>7</v>
      </c>
      <c r="H48" s="3" t="s">
        <v>107</v>
      </c>
      <c r="I48" s="3" t="s">
        <v>119</v>
      </c>
      <c r="J48" s="3" t="s">
        <v>421</v>
      </c>
      <c r="K48" s="3">
        <v>43000</v>
      </c>
      <c r="L48" s="3">
        <v>150</v>
      </c>
      <c r="M48" s="3">
        <v>0.379411395348837</v>
      </c>
      <c r="N48" s="3">
        <v>16314.69</v>
      </c>
      <c r="P48" t="s">
        <v>118</v>
      </c>
    </row>
    <row r="49" spans="1:16">
      <c r="A49" s="3">
        <v>48</v>
      </c>
      <c r="B49" s="3" t="s">
        <v>120</v>
      </c>
      <c r="C49" s="3" t="s">
        <v>105</v>
      </c>
      <c r="D49" s="3" t="s">
        <v>5</v>
      </c>
      <c r="E49" s="3"/>
      <c r="F49" s="3">
        <v>2006</v>
      </c>
      <c r="G49" s="3" t="s">
        <v>7</v>
      </c>
      <c r="H49" s="3" t="s">
        <v>107</v>
      </c>
      <c r="I49" s="3" t="s">
        <v>122</v>
      </c>
      <c r="J49" s="3" t="s">
        <v>421</v>
      </c>
      <c r="K49" s="3">
        <v>65000</v>
      </c>
      <c r="L49" s="3">
        <v>255</v>
      </c>
      <c r="M49" s="3">
        <v>9.8461538461538503E-2</v>
      </c>
      <c r="N49" s="3">
        <v>6400</v>
      </c>
      <c r="P49" t="s">
        <v>121</v>
      </c>
    </row>
    <row r="50" spans="1:16">
      <c r="A50" s="3">
        <v>49</v>
      </c>
      <c r="B50" s="3" t="s">
        <v>124</v>
      </c>
      <c r="C50" s="3" t="s">
        <v>105</v>
      </c>
      <c r="D50" s="3" t="s">
        <v>5</v>
      </c>
      <c r="E50" s="3" t="s">
        <v>23</v>
      </c>
      <c r="F50" s="3">
        <v>2008</v>
      </c>
      <c r="G50" s="3" t="s">
        <v>7</v>
      </c>
      <c r="H50" s="3" t="s">
        <v>107</v>
      </c>
      <c r="I50" s="3" t="s">
        <v>125</v>
      </c>
      <c r="J50" s="3" t="s">
        <v>421</v>
      </c>
      <c r="K50" s="3">
        <v>56000</v>
      </c>
      <c r="L50" s="3">
        <v>311.66666666666703</v>
      </c>
      <c r="M50" s="3">
        <v>0</v>
      </c>
      <c r="N50" s="3">
        <v>0</v>
      </c>
      <c r="P50" t="s">
        <v>43</v>
      </c>
    </row>
    <row r="51" spans="1:16">
      <c r="A51" s="3">
        <v>50</v>
      </c>
      <c r="B51" s="3" t="s">
        <v>126</v>
      </c>
      <c r="C51" s="3" t="s">
        <v>105</v>
      </c>
      <c r="D51" s="3" t="s">
        <v>5</v>
      </c>
      <c r="E51" s="3"/>
      <c r="F51" s="3">
        <v>2008</v>
      </c>
      <c r="G51" s="3" t="s">
        <v>7</v>
      </c>
      <c r="H51" s="3" t="s">
        <v>107</v>
      </c>
      <c r="I51" s="3" t="s">
        <v>127</v>
      </c>
      <c r="J51" s="3" t="s">
        <v>421</v>
      </c>
      <c r="K51" s="3">
        <v>160000</v>
      </c>
      <c r="L51" s="3">
        <v>198.055555555555</v>
      </c>
      <c r="M51" s="3">
        <v>0.48831249999999998</v>
      </c>
      <c r="N51" s="3">
        <v>78130</v>
      </c>
      <c r="P51" t="s">
        <v>57</v>
      </c>
    </row>
    <row r="52" spans="1:16">
      <c r="A52" s="3">
        <v>51</v>
      </c>
      <c r="B52" s="3" t="s">
        <v>475</v>
      </c>
      <c r="C52" s="3" t="s">
        <v>105</v>
      </c>
      <c r="D52" s="3" t="s">
        <v>5</v>
      </c>
      <c r="E52" s="3"/>
      <c r="F52" s="3">
        <v>2008</v>
      </c>
      <c r="G52" s="3" t="s">
        <v>7</v>
      </c>
      <c r="H52" s="3" t="s">
        <v>107</v>
      </c>
      <c r="I52" s="3" t="s">
        <v>128</v>
      </c>
      <c r="J52" s="3" t="s">
        <v>421</v>
      </c>
      <c r="K52" s="3">
        <v>33000</v>
      </c>
      <c r="L52" s="3">
        <v>175</v>
      </c>
      <c r="M52" s="3">
        <v>0.42424242424242398</v>
      </c>
      <c r="N52" s="3">
        <v>14000</v>
      </c>
      <c r="P52" t="s">
        <v>4</v>
      </c>
    </row>
    <row r="53" spans="1:16">
      <c r="A53" s="3">
        <v>52</v>
      </c>
      <c r="B53" s="3" t="s">
        <v>129</v>
      </c>
      <c r="C53" s="3" t="s">
        <v>105</v>
      </c>
      <c r="D53" s="3" t="s">
        <v>5</v>
      </c>
      <c r="E53" s="3" t="s">
        <v>16</v>
      </c>
      <c r="F53" s="3">
        <v>2009</v>
      </c>
      <c r="G53" s="3" t="s">
        <v>7</v>
      </c>
      <c r="H53" s="3" t="s">
        <v>107</v>
      </c>
      <c r="I53" s="3" t="s">
        <v>131</v>
      </c>
      <c r="J53" s="3" t="s">
        <v>421</v>
      </c>
      <c r="K53" s="3">
        <v>41318</v>
      </c>
      <c r="L53" s="3">
        <v>186.666666666667</v>
      </c>
      <c r="M53" s="3">
        <v>0.148885715668716</v>
      </c>
      <c r="N53" s="3">
        <v>6151.66</v>
      </c>
      <c r="P53" t="s">
        <v>130</v>
      </c>
    </row>
    <row r="54" spans="1:16">
      <c r="A54" s="3">
        <v>53</v>
      </c>
      <c r="B54" s="3" t="s">
        <v>132</v>
      </c>
      <c r="C54" s="3" t="s">
        <v>105</v>
      </c>
      <c r="D54" s="3" t="s">
        <v>5</v>
      </c>
      <c r="E54" s="3"/>
      <c r="F54" s="3">
        <v>2007</v>
      </c>
      <c r="G54" s="3" t="s">
        <v>7</v>
      </c>
      <c r="H54" s="3" t="s">
        <v>107</v>
      </c>
      <c r="I54" s="3" t="s">
        <v>133</v>
      </c>
      <c r="J54" s="3" t="s">
        <v>420</v>
      </c>
      <c r="K54" s="3">
        <v>34131</v>
      </c>
      <c r="L54" s="3">
        <v>175</v>
      </c>
      <c r="M54" s="3">
        <v>0.61237584600509798</v>
      </c>
      <c r="N54" s="3">
        <v>20901</v>
      </c>
      <c r="P54" s="2" t="s">
        <v>123</v>
      </c>
    </row>
    <row r="55" spans="1:16">
      <c r="A55" s="3">
        <v>54</v>
      </c>
      <c r="B55" s="3" t="s">
        <v>134</v>
      </c>
      <c r="C55" s="3" t="s">
        <v>105</v>
      </c>
      <c r="D55" s="3" t="s">
        <v>5</v>
      </c>
      <c r="E55" s="3" t="s">
        <v>16</v>
      </c>
      <c r="F55" s="3">
        <v>2016</v>
      </c>
      <c r="G55" s="3" t="s">
        <v>7</v>
      </c>
      <c r="H55" s="3" t="s">
        <v>107</v>
      </c>
      <c r="I55" s="3" t="s">
        <v>136</v>
      </c>
      <c r="J55" s="3" t="s">
        <v>420</v>
      </c>
      <c r="K55" s="3">
        <v>48000</v>
      </c>
      <c r="L55" s="3">
        <v>175</v>
      </c>
      <c r="M55" s="3">
        <v>0.26214583333333302</v>
      </c>
      <c r="N55" s="3">
        <v>12583</v>
      </c>
      <c r="P55" t="s">
        <v>135</v>
      </c>
    </row>
    <row r="56" spans="1:16">
      <c r="A56" s="3">
        <v>55</v>
      </c>
      <c r="B56" s="3" t="s">
        <v>476</v>
      </c>
      <c r="C56" s="3" t="s">
        <v>105</v>
      </c>
      <c r="D56" s="3" t="s">
        <v>5</v>
      </c>
      <c r="E56" s="3" t="s">
        <v>16</v>
      </c>
      <c r="F56" s="3">
        <v>2017</v>
      </c>
      <c r="G56" s="3" t="s">
        <v>7</v>
      </c>
      <c r="H56" s="3" t="s">
        <v>107</v>
      </c>
      <c r="I56" s="4" t="s">
        <v>444</v>
      </c>
      <c r="J56" s="3" t="s">
        <v>420</v>
      </c>
      <c r="K56" s="3">
        <v>16000</v>
      </c>
      <c r="L56" s="3">
        <v>197.083333333333</v>
      </c>
      <c r="M56" s="3">
        <v>0.25131249999999999</v>
      </c>
      <c r="N56" s="3">
        <v>4021</v>
      </c>
      <c r="P56">
        <v>2017</v>
      </c>
    </row>
    <row r="57" spans="1:16">
      <c r="A57" s="3">
        <v>56</v>
      </c>
      <c r="B57" s="3" t="s">
        <v>137</v>
      </c>
      <c r="C57" s="3" t="s">
        <v>105</v>
      </c>
      <c r="D57" s="3" t="s">
        <v>5</v>
      </c>
      <c r="E57" s="3" t="s">
        <v>16</v>
      </c>
      <c r="F57" s="3">
        <v>2017</v>
      </c>
      <c r="G57" s="3" t="s">
        <v>7</v>
      </c>
      <c r="H57" s="3" t="s">
        <v>107</v>
      </c>
      <c r="I57" s="3" t="s">
        <v>139</v>
      </c>
      <c r="J57" s="3" t="s">
        <v>421</v>
      </c>
      <c r="K57" s="3">
        <v>30000</v>
      </c>
      <c r="L57" s="3">
        <v>145</v>
      </c>
      <c r="M57" s="3">
        <v>0.242352333333333</v>
      </c>
      <c r="N57" s="3">
        <v>7270.57</v>
      </c>
      <c r="P57" t="s">
        <v>138</v>
      </c>
    </row>
    <row r="58" spans="1:16">
      <c r="A58" s="3">
        <v>57</v>
      </c>
      <c r="B58" s="3" t="s">
        <v>140</v>
      </c>
      <c r="C58" s="3" t="s">
        <v>105</v>
      </c>
      <c r="D58" s="3" t="s">
        <v>5</v>
      </c>
      <c r="E58" s="3" t="s">
        <v>16</v>
      </c>
      <c r="F58" s="3">
        <v>2018</v>
      </c>
      <c r="G58" s="3" t="s">
        <v>7</v>
      </c>
      <c r="H58" s="3" t="s">
        <v>107</v>
      </c>
      <c r="I58" s="3" t="s">
        <v>142</v>
      </c>
      <c r="J58" s="3" t="s">
        <v>421</v>
      </c>
      <c r="K58" s="3">
        <v>56000</v>
      </c>
      <c r="L58" s="3">
        <v>145</v>
      </c>
      <c r="M58" s="3">
        <v>0.37934464285714298</v>
      </c>
      <c r="N58" s="3">
        <v>21243.3</v>
      </c>
      <c r="P58" t="s">
        <v>141</v>
      </c>
    </row>
    <row r="59" spans="1:16">
      <c r="A59" s="3">
        <v>58</v>
      </c>
      <c r="B59" s="3" t="s">
        <v>477</v>
      </c>
      <c r="C59" s="3" t="s">
        <v>105</v>
      </c>
      <c r="D59" s="3" t="s">
        <v>5</v>
      </c>
      <c r="E59" s="3" t="s">
        <v>16</v>
      </c>
      <c r="F59" s="3">
        <v>2018</v>
      </c>
      <c r="G59" s="3" t="s">
        <v>7</v>
      </c>
      <c r="H59" s="3" t="s">
        <v>107</v>
      </c>
      <c r="I59" s="3" t="s">
        <v>144</v>
      </c>
      <c r="J59" s="3" t="s">
        <v>420</v>
      </c>
      <c r="K59" s="3">
        <v>43000</v>
      </c>
      <c r="L59" s="3">
        <v>261.25</v>
      </c>
      <c r="M59" s="3">
        <v>8.6837209302325594E-2</v>
      </c>
      <c r="N59" s="3">
        <v>3734</v>
      </c>
      <c r="P59" t="s">
        <v>143</v>
      </c>
    </row>
    <row r="60" spans="1:16">
      <c r="A60" s="3">
        <v>59</v>
      </c>
      <c r="B60" s="3" t="s">
        <v>478</v>
      </c>
      <c r="C60" s="3" t="s">
        <v>105</v>
      </c>
      <c r="D60" s="3" t="s">
        <v>5</v>
      </c>
      <c r="E60" s="3" t="s">
        <v>16</v>
      </c>
      <c r="F60" s="3">
        <v>2020</v>
      </c>
      <c r="G60" s="3" t="s">
        <v>7</v>
      </c>
      <c r="H60" s="3" t="s">
        <v>8</v>
      </c>
      <c r="I60" s="4" t="s">
        <v>443</v>
      </c>
      <c r="J60" s="3" t="s">
        <v>421</v>
      </c>
      <c r="K60" s="3">
        <v>110000</v>
      </c>
      <c r="L60" s="3">
        <v>240</v>
      </c>
      <c r="M60" s="3">
        <v>2.7453545454545401E-2</v>
      </c>
      <c r="N60" s="3">
        <v>3019.89</v>
      </c>
    </row>
    <row r="61" spans="1:16">
      <c r="A61" s="3">
        <v>60</v>
      </c>
      <c r="B61" s="3" t="s">
        <v>145</v>
      </c>
      <c r="C61" s="3" t="s">
        <v>105</v>
      </c>
      <c r="D61" s="3" t="s">
        <v>5</v>
      </c>
      <c r="E61" s="3"/>
      <c r="F61" s="3">
        <v>2021</v>
      </c>
      <c r="G61" s="3" t="s">
        <v>7</v>
      </c>
      <c r="H61" s="3" t="s">
        <v>107</v>
      </c>
      <c r="I61" s="3" t="s">
        <v>146</v>
      </c>
      <c r="J61" s="3" t="s">
        <v>420</v>
      </c>
      <c r="K61" s="3">
        <v>56160</v>
      </c>
      <c r="L61" s="3">
        <v>266.94444444444503</v>
      </c>
      <c r="M61" s="3">
        <v>7.4928774928774894E-2</v>
      </c>
      <c r="N61" s="3">
        <v>4208</v>
      </c>
    </row>
    <row r="62" spans="1:16">
      <c r="A62" s="3">
        <v>61</v>
      </c>
      <c r="B62" s="3" t="s">
        <v>147</v>
      </c>
      <c r="C62" s="3" t="s">
        <v>105</v>
      </c>
      <c r="D62" s="3" t="s">
        <v>14</v>
      </c>
      <c r="E62" s="3" t="s">
        <v>23</v>
      </c>
      <c r="F62" s="3">
        <v>2023</v>
      </c>
      <c r="G62" s="3" t="s">
        <v>7</v>
      </c>
      <c r="H62" s="3" t="s">
        <v>107</v>
      </c>
      <c r="I62" s="3" t="s">
        <v>148</v>
      </c>
      <c r="J62" s="3" t="s">
        <v>420</v>
      </c>
      <c r="K62" s="3">
        <v>138444</v>
      </c>
      <c r="L62" s="3">
        <v>297.91666666666703</v>
      </c>
      <c r="M62" s="3">
        <v>0.42616509202276698</v>
      </c>
      <c r="N62" s="3">
        <v>59000</v>
      </c>
    </row>
    <row r="63" spans="1:16">
      <c r="A63" s="3">
        <v>62</v>
      </c>
      <c r="B63" s="6" t="s">
        <v>149</v>
      </c>
      <c r="C63" s="3" t="s">
        <v>150</v>
      </c>
      <c r="D63" s="3" t="s">
        <v>5</v>
      </c>
      <c r="E63" s="3" t="s">
        <v>16</v>
      </c>
      <c r="F63" s="3">
        <v>2000</v>
      </c>
      <c r="G63" s="3" t="s">
        <v>7</v>
      </c>
      <c r="H63" s="3" t="s">
        <v>82</v>
      </c>
      <c r="I63" s="7" t="s">
        <v>452</v>
      </c>
      <c r="J63" s="3" t="s">
        <v>404</v>
      </c>
      <c r="K63" s="3">
        <v>31000</v>
      </c>
      <c r="L63" s="3">
        <v>281.94444444444503</v>
      </c>
      <c r="M63" s="3">
        <v>0.154838709677419</v>
      </c>
      <c r="N63" s="3">
        <v>4800</v>
      </c>
      <c r="P63" t="s">
        <v>151</v>
      </c>
    </row>
    <row r="64" spans="1:16">
      <c r="A64" s="3">
        <v>63</v>
      </c>
      <c r="B64" s="3" t="s">
        <v>152</v>
      </c>
      <c r="C64" s="3" t="s">
        <v>150</v>
      </c>
      <c r="D64" s="3" t="s">
        <v>14</v>
      </c>
      <c r="E64" s="3" t="s">
        <v>16</v>
      </c>
      <c r="F64" s="3">
        <v>2005</v>
      </c>
      <c r="G64" s="3" t="s">
        <v>7</v>
      </c>
      <c r="H64" s="3" t="s">
        <v>82</v>
      </c>
      <c r="I64" s="3" t="s">
        <v>154</v>
      </c>
      <c r="J64" s="3" t="s">
        <v>404</v>
      </c>
      <c r="K64" s="3">
        <v>120000</v>
      </c>
      <c r="L64" s="3">
        <v>471.11111111111097</v>
      </c>
      <c r="M64" s="3">
        <v>8.7499999999999994E-2</v>
      </c>
      <c r="N64" s="3">
        <v>10500</v>
      </c>
      <c r="P64" t="s">
        <v>153</v>
      </c>
    </row>
    <row r="65" spans="1:16">
      <c r="A65" s="3">
        <v>64</v>
      </c>
      <c r="B65" s="3" t="s">
        <v>155</v>
      </c>
      <c r="C65" s="3" t="s">
        <v>150</v>
      </c>
      <c r="D65" s="3" t="s">
        <v>5</v>
      </c>
      <c r="E65" s="3"/>
      <c r="F65" s="3">
        <v>2006</v>
      </c>
      <c r="G65" s="3" t="s">
        <v>7</v>
      </c>
      <c r="H65" s="3" t="s">
        <v>82</v>
      </c>
      <c r="I65" s="3" t="s">
        <v>156</v>
      </c>
      <c r="J65" s="3" t="s">
        <v>404</v>
      </c>
      <c r="K65" s="3">
        <v>25900</v>
      </c>
      <c r="L65" s="3">
        <v>311.66666666666703</v>
      </c>
      <c r="M65" s="3">
        <v>0.29289575289575298</v>
      </c>
      <c r="N65" s="3">
        <v>7586</v>
      </c>
      <c r="P65" t="s">
        <v>33</v>
      </c>
    </row>
    <row r="66" spans="1:16">
      <c r="A66" s="3">
        <v>65</v>
      </c>
      <c r="B66" s="3" t="s">
        <v>157</v>
      </c>
      <c r="C66" s="3" t="s">
        <v>150</v>
      </c>
      <c r="D66" s="3" t="s">
        <v>5</v>
      </c>
      <c r="E66" s="3"/>
      <c r="F66" s="3">
        <v>2006</v>
      </c>
      <c r="G66" s="3" t="s">
        <v>7</v>
      </c>
      <c r="H66" s="3" t="s">
        <v>82</v>
      </c>
      <c r="I66" s="3" t="s">
        <v>159</v>
      </c>
      <c r="J66" s="3" t="s">
        <v>404</v>
      </c>
      <c r="K66" s="3">
        <v>47986</v>
      </c>
      <c r="L66" s="3">
        <v>316.66666666666703</v>
      </c>
      <c r="M66" s="3">
        <v>8.9609469428583305E-2</v>
      </c>
      <c r="N66" s="3">
        <v>4300</v>
      </c>
      <c r="P66" t="s">
        <v>158</v>
      </c>
    </row>
    <row r="67" spans="1:16">
      <c r="A67" s="3">
        <v>66</v>
      </c>
      <c r="B67" s="3" t="s">
        <v>160</v>
      </c>
      <c r="C67" s="3" t="s">
        <v>150</v>
      </c>
      <c r="D67" s="3" t="s">
        <v>5</v>
      </c>
      <c r="E67" s="3" t="s">
        <v>23</v>
      </c>
      <c r="F67" s="3">
        <v>2007</v>
      </c>
      <c r="G67" s="3" t="s">
        <v>7</v>
      </c>
      <c r="H67" s="3" t="s">
        <v>82</v>
      </c>
      <c r="I67" s="3" t="s">
        <v>161</v>
      </c>
      <c r="J67" s="3" t="s">
        <v>404</v>
      </c>
      <c r="K67" s="3">
        <v>194000</v>
      </c>
      <c r="L67" s="3">
        <v>416.66666666666703</v>
      </c>
      <c r="M67" s="3">
        <v>8.9783505154639204E-2</v>
      </c>
      <c r="N67" s="3">
        <v>17418</v>
      </c>
      <c r="P67" t="s">
        <v>35</v>
      </c>
    </row>
    <row r="68" spans="1:16">
      <c r="A68" s="3">
        <v>67</v>
      </c>
      <c r="B68" s="3" t="s">
        <v>162</v>
      </c>
      <c r="C68" s="3" t="s">
        <v>150</v>
      </c>
      <c r="D68" s="3" t="s">
        <v>5</v>
      </c>
      <c r="E68" s="3" t="s">
        <v>16</v>
      </c>
      <c r="F68" s="3">
        <v>2007</v>
      </c>
      <c r="G68" s="3" t="s">
        <v>7</v>
      </c>
      <c r="H68" s="3" t="s">
        <v>82</v>
      </c>
      <c r="I68" s="3" t="s">
        <v>163</v>
      </c>
      <c r="J68" s="3" t="s">
        <v>404</v>
      </c>
      <c r="K68" s="3">
        <v>39724</v>
      </c>
      <c r="L68" s="3">
        <v>281.94444444444503</v>
      </c>
      <c r="M68" s="3">
        <v>9.0625314671231499E-2</v>
      </c>
      <c r="N68" s="3">
        <v>3600</v>
      </c>
      <c r="P68" t="s">
        <v>38</v>
      </c>
    </row>
    <row r="69" spans="1:16">
      <c r="A69" s="3">
        <v>68</v>
      </c>
      <c r="B69" s="3" t="s">
        <v>164</v>
      </c>
      <c r="C69" s="3" t="s">
        <v>150</v>
      </c>
      <c r="D69" s="3" t="s">
        <v>5</v>
      </c>
      <c r="E69" s="3"/>
      <c r="F69" s="3">
        <v>2007</v>
      </c>
      <c r="G69" s="3" t="s">
        <v>7</v>
      </c>
      <c r="H69" s="3" t="s">
        <v>82</v>
      </c>
      <c r="I69" s="4" t="s">
        <v>460</v>
      </c>
      <c r="J69" s="3" t="s">
        <v>404</v>
      </c>
      <c r="K69" s="3">
        <v>48437.45</v>
      </c>
      <c r="L69" s="3">
        <v>266.66666666666703</v>
      </c>
      <c r="M69" s="3">
        <v>7.7398789572944104E-2</v>
      </c>
      <c r="N69" s="3">
        <v>3749</v>
      </c>
      <c r="P69" t="s">
        <v>47</v>
      </c>
    </row>
    <row r="70" spans="1:16">
      <c r="A70" s="3">
        <v>69</v>
      </c>
      <c r="B70" s="3" t="s">
        <v>165</v>
      </c>
      <c r="C70" s="3" t="s">
        <v>150</v>
      </c>
      <c r="D70" s="3" t="s">
        <v>5</v>
      </c>
      <c r="E70" s="3"/>
      <c r="F70" s="3">
        <v>2007</v>
      </c>
      <c r="G70" s="3" t="s">
        <v>7</v>
      </c>
      <c r="H70" s="3" t="s">
        <v>82</v>
      </c>
      <c r="I70" s="3" t="s">
        <v>167</v>
      </c>
      <c r="J70" s="3" t="s">
        <v>404</v>
      </c>
      <c r="K70" s="3">
        <v>37910</v>
      </c>
      <c r="L70" s="3">
        <v>275</v>
      </c>
      <c r="M70" s="3">
        <v>6.5945660775520998E-2</v>
      </c>
      <c r="N70" s="3">
        <v>2500</v>
      </c>
      <c r="P70" t="s">
        <v>166</v>
      </c>
    </row>
    <row r="71" spans="1:16">
      <c r="A71" s="3">
        <v>70</v>
      </c>
      <c r="B71" s="7" t="s">
        <v>423</v>
      </c>
      <c r="C71" s="3" t="s">
        <v>150</v>
      </c>
      <c r="D71" s="3" t="s">
        <v>5</v>
      </c>
      <c r="E71" s="3"/>
      <c r="F71" s="3">
        <v>2007</v>
      </c>
      <c r="G71" s="3" t="s">
        <v>7</v>
      </c>
      <c r="H71" s="3" t="s">
        <v>82</v>
      </c>
      <c r="I71" s="7" t="s">
        <v>426</v>
      </c>
      <c r="J71" s="3" t="s">
        <v>404</v>
      </c>
      <c r="K71" s="3">
        <v>21220</v>
      </c>
      <c r="L71" s="3">
        <v>513.33333333333303</v>
      </c>
      <c r="M71" s="3">
        <v>0</v>
      </c>
      <c r="N71" s="3">
        <v>0</v>
      </c>
      <c r="P71" t="s">
        <v>166</v>
      </c>
    </row>
    <row r="72" spans="1:16">
      <c r="A72" s="3">
        <v>71</v>
      </c>
      <c r="B72" s="3" t="s">
        <v>479</v>
      </c>
      <c r="C72" s="3" t="s">
        <v>150</v>
      </c>
      <c r="D72" s="3" t="s">
        <v>5</v>
      </c>
      <c r="E72" s="3"/>
      <c r="F72" s="3">
        <v>2008</v>
      </c>
      <c r="G72" s="3" t="s">
        <v>7</v>
      </c>
      <c r="H72" s="3" t="s">
        <v>82</v>
      </c>
      <c r="I72" s="3" t="s">
        <v>168</v>
      </c>
      <c r="J72" s="3" t="s">
        <v>404</v>
      </c>
      <c r="K72" s="3">
        <v>77877</v>
      </c>
      <c r="L72" s="3">
        <v>350</v>
      </c>
      <c r="M72" s="3">
        <v>6.42038085699244E-2</v>
      </c>
      <c r="N72" s="3">
        <v>5000</v>
      </c>
      <c r="P72" t="s">
        <v>54</v>
      </c>
    </row>
    <row r="73" spans="1:16">
      <c r="A73" s="3">
        <v>72</v>
      </c>
      <c r="B73" s="3" t="s">
        <v>169</v>
      </c>
      <c r="C73" s="3" t="s">
        <v>150</v>
      </c>
      <c r="D73" s="3" t="s">
        <v>5</v>
      </c>
      <c r="E73" s="3" t="s">
        <v>16</v>
      </c>
      <c r="F73" s="3">
        <v>2009</v>
      </c>
      <c r="G73" s="3" t="s">
        <v>7</v>
      </c>
      <c r="H73" s="3" t="s">
        <v>82</v>
      </c>
      <c r="I73" s="3" t="s">
        <v>170</v>
      </c>
      <c r="J73" s="3" t="s">
        <v>404</v>
      </c>
      <c r="K73" s="3">
        <v>80311.53</v>
      </c>
      <c r="L73" s="3">
        <v>430.55555555555497</v>
      </c>
      <c r="M73" s="3">
        <v>0.110581880335239</v>
      </c>
      <c r="N73" s="3">
        <v>8881</v>
      </c>
      <c r="P73" t="s">
        <v>60</v>
      </c>
    </row>
    <row r="74" spans="1:16">
      <c r="A74" s="3">
        <v>73</v>
      </c>
      <c r="B74" s="3" t="s">
        <v>171</v>
      </c>
      <c r="C74" s="3" t="s">
        <v>150</v>
      </c>
      <c r="D74" s="3" t="s">
        <v>5</v>
      </c>
      <c r="E74" s="3" t="s">
        <v>23</v>
      </c>
      <c r="F74" s="3">
        <v>2010</v>
      </c>
      <c r="G74" s="3" t="s">
        <v>7</v>
      </c>
      <c r="H74" s="3" t="s">
        <v>82</v>
      </c>
      <c r="I74" s="3" t="s">
        <v>173</v>
      </c>
      <c r="J74" s="3" t="s">
        <v>404</v>
      </c>
      <c r="K74" s="3">
        <v>38000</v>
      </c>
      <c r="L74" s="3">
        <v>350</v>
      </c>
      <c r="M74" s="3">
        <v>0.34210526315789502</v>
      </c>
      <c r="N74" s="3">
        <v>13000</v>
      </c>
      <c r="P74" t="s">
        <v>172</v>
      </c>
    </row>
    <row r="75" spans="1:16">
      <c r="A75" s="3">
        <v>74</v>
      </c>
      <c r="B75" s="3" t="s">
        <v>174</v>
      </c>
      <c r="C75" s="3" t="s">
        <v>150</v>
      </c>
      <c r="D75" s="3" t="s">
        <v>5</v>
      </c>
      <c r="E75" s="3"/>
      <c r="F75" s="3">
        <v>2013</v>
      </c>
      <c r="G75" s="3" t="s">
        <v>7</v>
      </c>
      <c r="H75" s="3" t="s">
        <v>82</v>
      </c>
      <c r="I75" s="3" t="s">
        <v>176</v>
      </c>
      <c r="J75" s="3" t="s">
        <v>404</v>
      </c>
      <c r="K75" s="3">
        <v>37800</v>
      </c>
      <c r="L75" s="3">
        <v>387.5</v>
      </c>
      <c r="M75" s="3">
        <v>0</v>
      </c>
      <c r="N75" s="3">
        <v>0</v>
      </c>
      <c r="P75" t="s">
        <v>175</v>
      </c>
    </row>
    <row r="76" spans="1:16">
      <c r="A76" s="3">
        <v>75</v>
      </c>
      <c r="B76" s="7" t="s">
        <v>177</v>
      </c>
      <c r="C76" s="3" t="s">
        <v>150</v>
      </c>
      <c r="D76" s="3" t="s">
        <v>5</v>
      </c>
      <c r="E76" s="3" t="s">
        <v>16</v>
      </c>
      <c r="F76" s="3">
        <v>2015</v>
      </c>
      <c r="G76" s="3" t="s">
        <v>7</v>
      </c>
      <c r="H76" s="3" t="s">
        <v>82</v>
      </c>
      <c r="I76" s="7" t="s">
        <v>433</v>
      </c>
      <c r="J76" s="3" t="s">
        <v>404</v>
      </c>
      <c r="K76" s="3">
        <v>54581</v>
      </c>
      <c r="L76" s="3">
        <v>350</v>
      </c>
      <c r="M76" s="3">
        <v>5.7840640515930401E-2</v>
      </c>
      <c r="N76" s="3">
        <v>3157</v>
      </c>
      <c r="P76" t="s">
        <v>178</v>
      </c>
    </row>
    <row r="77" spans="1:16">
      <c r="A77" s="3">
        <v>76</v>
      </c>
      <c r="B77" s="3" t="s">
        <v>179</v>
      </c>
      <c r="C77" s="3" t="s">
        <v>150</v>
      </c>
      <c r="D77" s="3" t="s">
        <v>5</v>
      </c>
      <c r="E77" s="3" t="s">
        <v>16</v>
      </c>
      <c r="F77" s="3">
        <v>2016</v>
      </c>
      <c r="G77" s="3" t="s">
        <v>7</v>
      </c>
      <c r="H77" s="3" t="s">
        <v>82</v>
      </c>
      <c r="I77" s="6" t="s">
        <v>461</v>
      </c>
      <c r="J77" s="3" t="s">
        <v>404</v>
      </c>
      <c r="K77" s="3">
        <v>25000</v>
      </c>
      <c r="L77" s="3">
        <v>362.5</v>
      </c>
      <c r="M77" s="3">
        <v>0.38147999999999999</v>
      </c>
      <c r="N77" s="3">
        <v>9537</v>
      </c>
      <c r="P77" t="s">
        <v>180</v>
      </c>
    </row>
    <row r="78" spans="1:16">
      <c r="A78" s="3">
        <v>77</v>
      </c>
      <c r="B78" s="3" t="s">
        <v>181</v>
      </c>
      <c r="C78" s="3" t="s">
        <v>150</v>
      </c>
      <c r="D78" s="3" t="s">
        <v>5</v>
      </c>
      <c r="E78" s="3" t="s">
        <v>16</v>
      </c>
      <c r="F78" s="3">
        <v>2019</v>
      </c>
      <c r="G78" s="3" t="s">
        <v>7</v>
      </c>
      <c r="H78" s="3" t="s">
        <v>82</v>
      </c>
      <c r="I78" s="3" t="s">
        <v>182</v>
      </c>
      <c r="J78" s="3" t="s">
        <v>404</v>
      </c>
      <c r="K78" s="3">
        <v>52698</v>
      </c>
      <c r="L78" s="3">
        <v>540.83333333333303</v>
      </c>
      <c r="M78" s="3">
        <v>6.4518577555125398E-2</v>
      </c>
      <c r="N78" s="3">
        <v>3400</v>
      </c>
      <c r="P78" t="s">
        <v>84</v>
      </c>
    </row>
    <row r="79" spans="1:16">
      <c r="A79" s="3">
        <v>78</v>
      </c>
      <c r="B79" s="7" t="s">
        <v>183</v>
      </c>
      <c r="C79" s="3" t="s">
        <v>150</v>
      </c>
      <c r="D79" s="3" t="s">
        <v>5</v>
      </c>
      <c r="E79" s="3"/>
      <c r="F79" s="3">
        <v>2007</v>
      </c>
      <c r="G79" s="3" t="s">
        <v>7</v>
      </c>
      <c r="H79" s="3" t="s">
        <v>185</v>
      </c>
      <c r="I79" s="7" t="s">
        <v>432</v>
      </c>
      <c r="J79" s="3" t="s">
        <v>404</v>
      </c>
      <c r="K79" s="3">
        <v>38500</v>
      </c>
      <c r="L79" s="3">
        <v>210.833333333333</v>
      </c>
      <c r="M79" s="3">
        <v>0.22270129870129901</v>
      </c>
      <c r="N79" s="3">
        <v>8574</v>
      </c>
      <c r="P79" t="s">
        <v>184</v>
      </c>
    </row>
    <row r="80" spans="1:16">
      <c r="A80" s="3">
        <v>79</v>
      </c>
      <c r="B80" s="3" t="s">
        <v>186</v>
      </c>
      <c r="C80" s="3" t="s">
        <v>150</v>
      </c>
      <c r="D80" s="3" t="s">
        <v>187</v>
      </c>
      <c r="E80" s="3"/>
      <c r="F80" s="3">
        <f>VLOOKUP(B80,'[1]GradeA+Prime A'!$A:$C,3,FALSE)</f>
        <v>2011</v>
      </c>
      <c r="G80" s="3" t="s">
        <v>7</v>
      </c>
      <c r="H80" s="3" t="s">
        <v>82</v>
      </c>
      <c r="I80" s="3" t="s">
        <v>188</v>
      </c>
      <c r="J80" s="3" t="s">
        <v>404</v>
      </c>
      <c r="K80" s="3">
        <v>27200</v>
      </c>
      <c r="L80" s="3">
        <v>195.555555555555</v>
      </c>
      <c r="M80" s="3">
        <v>0.26286764705882298</v>
      </c>
      <c r="N80" s="3">
        <v>7150</v>
      </c>
    </row>
    <row r="81" spans="1:16">
      <c r="A81" s="3">
        <v>80</v>
      </c>
      <c r="B81" s="3" t="s">
        <v>189</v>
      </c>
      <c r="C81" s="3" t="s">
        <v>130</v>
      </c>
      <c r="D81" s="3" t="s">
        <v>5</v>
      </c>
      <c r="E81" s="3" t="s">
        <v>16</v>
      </c>
      <c r="F81" s="3">
        <v>1999</v>
      </c>
      <c r="G81" s="3" t="s">
        <v>7</v>
      </c>
      <c r="H81" s="3" t="s">
        <v>8</v>
      </c>
      <c r="I81" s="8" t="s">
        <v>463</v>
      </c>
      <c r="J81" s="3" t="s">
        <v>405</v>
      </c>
      <c r="K81" s="3">
        <v>60000</v>
      </c>
      <c r="L81" s="3">
        <v>200</v>
      </c>
      <c r="M81" s="3">
        <v>0.320583333333333</v>
      </c>
      <c r="N81" s="3">
        <v>19235</v>
      </c>
      <c r="P81" t="s">
        <v>190</v>
      </c>
    </row>
    <row r="82" spans="1:16">
      <c r="A82" s="3">
        <v>81</v>
      </c>
      <c r="B82" s="3" t="s">
        <v>191</v>
      </c>
      <c r="C82" s="3" t="s">
        <v>130</v>
      </c>
      <c r="D82" s="3" t="s">
        <v>5</v>
      </c>
      <c r="E82" s="3" t="s">
        <v>23</v>
      </c>
      <c r="F82" s="3">
        <v>2000</v>
      </c>
      <c r="G82" s="3" t="s">
        <v>7</v>
      </c>
      <c r="H82" s="3" t="s">
        <v>8</v>
      </c>
      <c r="I82" s="3" t="s">
        <v>193</v>
      </c>
      <c r="J82" s="3" t="s">
        <v>420</v>
      </c>
      <c r="K82" s="3">
        <v>50000</v>
      </c>
      <c r="L82" s="3">
        <v>195.555555555555</v>
      </c>
      <c r="M82" s="3">
        <v>0.15</v>
      </c>
      <c r="N82" s="3">
        <v>7500</v>
      </c>
      <c r="P82" t="s">
        <v>192</v>
      </c>
    </row>
    <row r="83" spans="1:16">
      <c r="A83" s="3">
        <v>82</v>
      </c>
      <c r="B83" s="3" t="s">
        <v>194</v>
      </c>
      <c r="C83" s="3" t="s">
        <v>130</v>
      </c>
      <c r="D83" s="3" t="s">
        <v>5</v>
      </c>
      <c r="E83" s="3" t="s">
        <v>23</v>
      </c>
      <c r="F83" s="3">
        <v>2005</v>
      </c>
      <c r="G83" s="3" t="s">
        <v>7</v>
      </c>
      <c r="H83" s="3" t="s">
        <v>8</v>
      </c>
      <c r="I83" s="3" t="s">
        <v>195</v>
      </c>
      <c r="J83" s="3" t="s">
        <v>405</v>
      </c>
      <c r="K83" s="3">
        <v>131575</v>
      </c>
      <c r="L83" s="3">
        <v>204.444444444445</v>
      </c>
      <c r="M83" s="3">
        <v>7.6002280068402095E-2</v>
      </c>
      <c r="N83" s="3">
        <v>10000</v>
      </c>
      <c r="P83" t="s">
        <v>118</v>
      </c>
    </row>
    <row r="84" spans="1:16">
      <c r="A84" s="3">
        <v>83</v>
      </c>
      <c r="B84" s="3" t="s">
        <v>196</v>
      </c>
      <c r="C84" s="3" t="s">
        <v>130</v>
      </c>
      <c r="D84" s="3" t="s">
        <v>5</v>
      </c>
      <c r="E84" s="3" t="s">
        <v>23</v>
      </c>
      <c r="F84" s="3">
        <v>2008</v>
      </c>
      <c r="G84" s="3" t="s">
        <v>7</v>
      </c>
      <c r="H84" s="3" t="s">
        <v>8</v>
      </c>
      <c r="I84" s="3" t="s">
        <v>197</v>
      </c>
      <c r="J84" s="3" t="s">
        <v>420</v>
      </c>
      <c r="K84" s="3">
        <v>99500</v>
      </c>
      <c r="L84" s="3">
        <v>195.555555555555</v>
      </c>
      <c r="M84" s="3">
        <v>0.23086432160803999</v>
      </c>
      <c r="N84" s="3">
        <v>22971</v>
      </c>
      <c r="P84" t="s">
        <v>54</v>
      </c>
    </row>
    <row r="85" spans="1:16">
      <c r="A85" s="3">
        <v>84</v>
      </c>
      <c r="B85" s="3" t="s">
        <v>198</v>
      </c>
      <c r="C85" s="3" t="s">
        <v>130</v>
      </c>
      <c r="D85" s="3" t="s">
        <v>5</v>
      </c>
      <c r="E85" s="3"/>
      <c r="F85" s="3">
        <v>2010</v>
      </c>
      <c r="G85" s="3" t="s">
        <v>7</v>
      </c>
      <c r="H85" s="3" t="s">
        <v>8</v>
      </c>
      <c r="I85" s="3" t="s">
        <v>449</v>
      </c>
      <c r="J85" s="3" t="s">
        <v>405</v>
      </c>
      <c r="K85" s="3">
        <v>32000</v>
      </c>
      <c r="L85" s="3">
        <v>178.888888888889</v>
      </c>
      <c r="M85" s="3">
        <v>0.11874999999999999</v>
      </c>
      <c r="N85" s="3">
        <v>3800</v>
      </c>
      <c r="P85" t="s">
        <v>199</v>
      </c>
    </row>
    <row r="86" spans="1:16">
      <c r="A86" s="3">
        <v>85</v>
      </c>
      <c r="B86" s="3" t="s">
        <v>200</v>
      </c>
      <c r="C86" s="3" t="s">
        <v>130</v>
      </c>
      <c r="D86" s="3" t="s">
        <v>5</v>
      </c>
      <c r="E86" s="3" t="s">
        <v>23</v>
      </c>
      <c r="F86" s="3">
        <v>2010</v>
      </c>
      <c r="G86" s="3" t="s">
        <v>7</v>
      </c>
      <c r="H86" s="3" t="s">
        <v>8</v>
      </c>
      <c r="I86" s="3" t="s">
        <v>201</v>
      </c>
      <c r="J86" s="3" t="s">
        <v>405</v>
      </c>
      <c r="K86" s="3">
        <v>52170</v>
      </c>
      <c r="L86" s="3">
        <v>208.333333333333</v>
      </c>
      <c r="M86" s="3">
        <v>0.156009200690052</v>
      </c>
      <c r="N86" s="3">
        <v>8139</v>
      </c>
      <c r="P86" t="s">
        <v>172</v>
      </c>
    </row>
    <row r="87" spans="1:16">
      <c r="A87" s="3">
        <v>86</v>
      </c>
      <c r="B87" s="3" t="s">
        <v>202</v>
      </c>
      <c r="C87" s="3" t="s">
        <v>130</v>
      </c>
      <c r="D87" s="3" t="s">
        <v>5</v>
      </c>
      <c r="E87" s="3"/>
      <c r="F87" s="3">
        <v>2011</v>
      </c>
      <c r="G87" s="3" t="s">
        <v>7</v>
      </c>
      <c r="H87" s="3" t="s">
        <v>8</v>
      </c>
      <c r="I87" s="3" t="s">
        <v>450</v>
      </c>
      <c r="J87" s="3" t="s">
        <v>405</v>
      </c>
      <c r="K87" s="3">
        <v>46000</v>
      </c>
      <c r="L87" s="3">
        <v>186.666666666667</v>
      </c>
      <c r="M87" s="3">
        <v>0.102173913043478</v>
      </c>
      <c r="N87" s="3">
        <v>4700</v>
      </c>
      <c r="P87" t="s">
        <v>203</v>
      </c>
    </row>
    <row r="88" spans="1:16">
      <c r="A88" s="3">
        <v>87</v>
      </c>
      <c r="B88" s="3" t="s">
        <v>480</v>
      </c>
      <c r="C88" s="3" t="s">
        <v>130</v>
      </c>
      <c r="D88" s="3" t="s">
        <v>5</v>
      </c>
      <c r="E88" s="3" t="s">
        <v>23</v>
      </c>
      <c r="F88" s="3">
        <v>2012</v>
      </c>
      <c r="G88" s="3" t="s">
        <v>7</v>
      </c>
      <c r="H88" s="3" t="s">
        <v>8</v>
      </c>
      <c r="I88" s="3" t="s">
        <v>205</v>
      </c>
      <c r="J88" s="3" t="s">
        <v>420</v>
      </c>
      <c r="K88" s="3">
        <v>45013</v>
      </c>
      <c r="L88" s="3">
        <v>206.25</v>
      </c>
      <c r="M88" s="3">
        <v>0.13995956723613201</v>
      </c>
      <c r="N88" s="3">
        <v>6300</v>
      </c>
      <c r="P88" t="s">
        <v>204</v>
      </c>
    </row>
    <row r="89" spans="1:16">
      <c r="A89" s="3">
        <v>88</v>
      </c>
      <c r="B89" s="3" t="s">
        <v>206</v>
      </c>
      <c r="C89" s="3" t="s">
        <v>130</v>
      </c>
      <c r="D89" s="3" t="s">
        <v>5</v>
      </c>
      <c r="E89" s="3"/>
      <c r="F89" s="3">
        <v>2013</v>
      </c>
      <c r="G89" s="3" t="s">
        <v>7</v>
      </c>
      <c r="H89" s="3" t="s">
        <v>8</v>
      </c>
      <c r="I89" s="4" t="s">
        <v>459</v>
      </c>
      <c r="J89" s="3" t="s">
        <v>405</v>
      </c>
      <c r="K89" s="3">
        <v>48566</v>
      </c>
      <c r="L89" s="3">
        <v>220</v>
      </c>
      <c r="M89" s="3">
        <v>0.76040851624593297</v>
      </c>
      <c r="N89" s="3">
        <v>36930</v>
      </c>
      <c r="P89" t="s">
        <v>73</v>
      </c>
    </row>
    <row r="90" spans="1:16">
      <c r="A90" s="3">
        <v>89</v>
      </c>
      <c r="B90" s="3" t="s">
        <v>207</v>
      </c>
      <c r="C90" s="3" t="s">
        <v>130</v>
      </c>
      <c r="D90" s="3" t="s">
        <v>5</v>
      </c>
      <c r="E90" s="3"/>
      <c r="F90" s="3">
        <v>2014</v>
      </c>
      <c r="G90" s="3" t="s">
        <v>7</v>
      </c>
      <c r="H90" s="3" t="s">
        <v>8</v>
      </c>
      <c r="I90" s="3" t="s">
        <v>209</v>
      </c>
      <c r="J90" s="3" t="s">
        <v>420</v>
      </c>
      <c r="K90" s="3">
        <v>55618</v>
      </c>
      <c r="L90" s="3">
        <v>238.333333333333</v>
      </c>
      <c r="M90" s="3">
        <v>0.2</v>
      </c>
      <c r="N90" s="3">
        <v>11123.6</v>
      </c>
      <c r="P90" t="s">
        <v>208</v>
      </c>
    </row>
    <row r="91" spans="1:16">
      <c r="A91" s="3">
        <v>90</v>
      </c>
      <c r="B91" s="3" t="s">
        <v>210</v>
      </c>
      <c r="C91" s="3" t="s">
        <v>130</v>
      </c>
      <c r="D91" s="3" t="s">
        <v>5</v>
      </c>
      <c r="E91" s="3"/>
      <c r="F91" s="3">
        <v>2015</v>
      </c>
      <c r="G91" s="3" t="s">
        <v>7</v>
      </c>
      <c r="H91" s="3" t="s">
        <v>8</v>
      </c>
      <c r="I91" s="3" t="s">
        <v>451</v>
      </c>
      <c r="J91" s="3" t="s">
        <v>405</v>
      </c>
      <c r="K91" s="3">
        <v>47000</v>
      </c>
      <c r="L91" s="3">
        <v>229.166666666667</v>
      </c>
      <c r="M91" s="3">
        <v>4.0382978723404302E-2</v>
      </c>
      <c r="N91" s="3">
        <v>1898</v>
      </c>
      <c r="P91" t="s">
        <v>178</v>
      </c>
    </row>
    <row r="92" spans="1:16">
      <c r="A92" s="3">
        <v>91</v>
      </c>
      <c r="B92" s="3" t="s">
        <v>211</v>
      </c>
      <c r="C92" s="3" t="s">
        <v>130</v>
      </c>
      <c r="D92" s="3" t="s">
        <v>5</v>
      </c>
      <c r="E92" s="3" t="s">
        <v>23</v>
      </c>
      <c r="F92" s="3">
        <v>2016</v>
      </c>
      <c r="G92" s="3" t="s">
        <v>7</v>
      </c>
      <c r="H92" s="3" t="s">
        <v>8</v>
      </c>
      <c r="I92" s="3" t="s">
        <v>213</v>
      </c>
      <c r="J92" s="3" t="s">
        <v>420</v>
      </c>
      <c r="K92" s="3">
        <v>87763</v>
      </c>
      <c r="L92" s="3">
        <v>177.777777777778</v>
      </c>
      <c r="M92" s="3">
        <v>0.227886466962159</v>
      </c>
      <c r="N92" s="3">
        <v>20000</v>
      </c>
      <c r="P92" t="s">
        <v>212</v>
      </c>
    </row>
    <row r="93" spans="1:16">
      <c r="A93" s="3">
        <v>92</v>
      </c>
      <c r="B93" s="3" t="s">
        <v>214</v>
      </c>
      <c r="C93" s="3" t="s">
        <v>130</v>
      </c>
      <c r="D93" s="3" t="s">
        <v>14</v>
      </c>
      <c r="E93" s="3" t="s">
        <v>16</v>
      </c>
      <c r="F93" s="3">
        <v>2016</v>
      </c>
      <c r="G93" s="3" t="s">
        <v>7</v>
      </c>
      <c r="H93" s="3" t="s">
        <v>8</v>
      </c>
      <c r="I93" s="3" t="s">
        <v>216</v>
      </c>
      <c r="J93" s="3" t="s">
        <v>405</v>
      </c>
      <c r="K93" s="3">
        <v>100658</v>
      </c>
      <c r="L93" s="3">
        <v>275.55555555555497</v>
      </c>
      <c r="M93" s="3">
        <v>0.33777742454648402</v>
      </c>
      <c r="N93" s="3">
        <v>34000</v>
      </c>
      <c r="P93" t="s">
        <v>215</v>
      </c>
    </row>
    <row r="94" spans="1:16">
      <c r="A94" s="3">
        <v>93</v>
      </c>
      <c r="B94" s="3" t="s">
        <v>481</v>
      </c>
      <c r="C94" s="3" t="s">
        <v>130</v>
      </c>
      <c r="D94" s="3" t="s">
        <v>5</v>
      </c>
      <c r="E94" s="3" t="s">
        <v>16</v>
      </c>
      <c r="F94" s="3">
        <v>2015</v>
      </c>
      <c r="G94" s="3" t="s">
        <v>7</v>
      </c>
      <c r="H94" s="3" t="s">
        <v>8</v>
      </c>
      <c r="I94" s="3" t="s">
        <v>441</v>
      </c>
      <c r="J94" s="3" t="s">
        <v>405</v>
      </c>
      <c r="K94" s="3">
        <v>67000</v>
      </c>
      <c r="L94" s="3">
        <v>206.666666666667</v>
      </c>
      <c r="M94" s="3">
        <v>0.178820895522388</v>
      </c>
      <c r="N94" s="3">
        <v>11981</v>
      </c>
      <c r="P94" t="s">
        <v>217</v>
      </c>
    </row>
    <row r="95" spans="1:16">
      <c r="A95" s="3">
        <v>94</v>
      </c>
      <c r="B95" s="3" t="s">
        <v>218</v>
      </c>
      <c r="C95" s="3" t="s">
        <v>130</v>
      </c>
      <c r="D95" s="3" t="s">
        <v>5</v>
      </c>
      <c r="E95" s="3" t="s">
        <v>16</v>
      </c>
      <c r="F95" s="3">
        <v>2017</v>
      </c>
      <c r="G95" s="3" t="s">
        <v>7</v>
      </c>
      <c r="H95" s="3" t="s">
        <v>8</v>
      </c>
      <c r="I95" s="3" t="s">
        <v>219</v>
      </c>
      <c r="J95" s="3" t="s">
        <v>405</v>
      </c>
      <c r="K95" s="3">
        <v>39431</v>
      </c>
      <c r="L95" s="3">
        <v>216.666666666667</v>
      </c>
      <c r="M95" s="3">
        <v>0.30432908117978202</v>
      </c>
      <c r="N95" s="3">
        <v>12000</v>
      </c>
      <c r="P95" t="s">
        <v>79</v>
      </c>
    </row>
    <row r="96" spans="1:16">
      <c r="A96" s="3">
        <v>95</v>
      </c>
      <c r="B96" s="3" t="s">
        <v>482</v>
      </c>
      <c r="C96" s="3" t="s">
        <v>130</v>
      </c>
      <c r="D96" s="3" t="s">
        <v>5</v>
      </c>
      <c r="E96" s="3"/>
      <c r="F96" s="3">
        <v>2019</v>
      </c>
      <c r="G96" s="3" t="s">
        <v>7</v>
      </c>
      <c r="H96" s="3" t="s">
        <v>8</v>
      </c>
      <c r="I96" s="3" t="s">
        <v>220</v>
      </c>
      <c r="J96" s="3" t="s">
        <v>405</v>
      </c>
      <c r="K96" s="3">
        <v>34273</v>
      </c>
      <c r="L96" s="3">
        <v>166.666666666667</v>
      </c>
      <c r="M96" s="3">
        <v>0.145887433256499</v>
      </c>
      <c r="N96" s="3">
        <v>5000</v>
      </c>
      <c r="P96" t="s">
        <v>81</v>
      </c>
    </row>
    <row r="97" spans="1:16">
      <c r="A97" s="3">
        <v>96</v>
      </c>
      <c r="B97" s="3" t="s">
        <v>221</v>
      </c>
      <c r="C97" s="3" t="s">
        <v>130</v>
      </c>
      <c r="D97" s="3" t="s">
        <v>5</v>
      </c>
      <c r="E97" s="3"/>
      <c r="F97" s="3">
        <f>VLOOKUP(B97,'[1]GradeA+Prime A'!$A:$C,3,FALSE)</f>
        <v>2020</v>
      </c>
      <c r="G97" s="3" t="s">
        <v>7</v>
      </c>
      <c r="H97" s="3" t="s">
        <v>8</v>
      </c>
      <c r="I97" s="3" t="s">
        <v>440</v>
      </c>
      <c r="J97" s="3" t="s">
        <v>420</v>
      </c>
      <c r="K97" s="3">
        <v>40000</v>
      </c>
      <c r="L97" s="3">
        <v>200</v>
      </c>
      <c r="M97" s="3">
        <v>1</v>
      </c>
      <c r="N97" s="3">
        <v>40000</v>
      </c>
    </row>
    <row r="98" spans="1:16">
      <c r="A98" s="3">
        <v>97</v>
      </c>
      <c r="B98" s="3" t="s">
        <v>483</v>
      </c>
      <c r="C98" s="3" t="s">
        <v>130</v>
      </c>
      <c r="D98" s="3" t="s">
        <v>5</v>
      </c>
      <c r="E98" s="3" t="s">
        <v>16</v>
      </c>
      <c r="F98" s="3" t="e">
        <f>VLOOKUP(B98,'[1]GradeA+Prime A'!$A:$C,3,FALSE)</f>
        <v>#N/A</v>
      </c>
      <c r="G98" s="3" t="s">
        <v>7</v>
      </c>
      <c r="H98" s="3" t="s">
        <v>8</v>
      </c>
      <c r="I98" s="3" t="s">
        <v>222</v>
      </c>
      <c r="J98" s="3" t="s">
        <v>405</v>
      </c>
      <c r="K98" s="3">
        <v>65000</v>
      </c>
      <c r="L98" s="3">
        <v>201.388888888889</v>
      </c>
      <c r="M98" s="3">
        <v>0.480738461538462</v>
      </c>
      <c r="N98" s="3">
        <v>31248</v>
      </c>
    </row>
    <row r="99" spans="1:16">
      <c r="A99" s="3">
        <v>98</v>
      </c>
      <c r="B99" s="3" t="s">
        <v>223</v>
      </c>
      <c r="C99" s="3" t="s">
        <v>224</v>
      </c>
      <c r="D99" s="3" t="s">
        <v>5</v>
      </c>
      <c r="E99" s="3" t="s">
        <v>23</v>
      </c>
      <c r="F99" s="3">
        <v>2002</v>
      </c>
      <c r="G99" s="3" t="s">
        <v>7</v>
      </c>
      <c r="H99" s="3" t="s">
        <v>185</v>
      </c>
      <c r="I99" s="3" t="s">
        <v>226</v>
      </c>
      <c r="J99" s="3" t="s">
        <v>422</v>
      </c>
      <c r="K99" s="3">
        <v>49000</v>
      </c>
      <c r="L99" s="3">
        <v>335.83333333333297</v>
      </c>
      <c r="M99" s="3">
        <v>0.24397959183673501</v>
      </c>
      <c r="N99" s="3">
        <v>11955</v>
      </c>
      <c r="P99" t="s">
        <v>225</v>
      </c>
    </row>
    <row r="100" spans="1:16">
      <c r="A100" s="3">
        <v>99</v>
      </c>
      <c r="B100" s="3" t="s">
        <v>227</v>
      </c>
      <c r="C100" s="3" t="s">
        <v>224</v>
      </c>
      <c r="D100" s="3" t="s">
        <v>14</v>
      </c>
      <c r="E100" s="3" t="s">
        <v>23</v>
      </c>
      <c r="F100" s="3">
        <v>2004</v>
      </c>
      <c r="G100" s="3" t="s">
        <v>7</v>
      </c>
      <c r="H100" s="3" t="s">
        <v>185</v>
      </c>
      <c r="I100" s="3" t="s">
        <v>229</v>
      </c>
      <c r="J100" s="3" t="s">
        <v>422</v>
      </c>
      <c r="K100" s="3">
        <v>95000</v>
      </c>
      <c r="L100" s="3">
        <v>335.83333333333297</v>
      </c>
      <c r="M100" s="3">
        <v>0.123347368421053</v>
      </c>
      <c r="N100" s="3">
        <v>11718</v>
      </c>
      <c r="P100" t="s">
        <v>228</v>
      </c>
    </row>
    <row r="101" spans="1:16">
      <c r="A101" s="3">
        <v>100</v>
      </c>
      <c r="B101" s="3" t="s">
        <v>230</v>
      </c>
      <c r="C101" s="3" t="s">
        <v>224</v>
      </c>
      <c r="D101" s="3" t="s">
        <v>5</v>
      </c>
      <c r="E101" s="3" t="s">
        <v>23</v>
      </c>
      <c r="F101" s="3">
        <v>2004</v>
      </c>
      <c r="G101" s="3" t="s">
        <v>7</v>
      </c>
      <c r="H101" s="3" t="s">
        <v>185</v>
      </c>
      <c r="I101" s="3" t="s">
        <v>232</v>
      </c>
      <c r="J101" s="3" t="s">
        <v>422</v>
      </c>
      <c r="K101" s="3">
        <v>45000</v>
      </c>
      <c r="L101" s="3">
        <v>241.111111111111</v>
      </c>
      <c r="M101" s="3">
        <v>0.31568888888888902</v>
      </c>
      <c r="N101" s="3">
        <v>14206</v>
      </c>
      <c r="P101" t="s">
        <v>231</v>
      </c>
    </row>
    <row r="102" spans="1:16">
      <c r="A102" s="3">
        <v>101</v>
      </c>
      <c r="B102" s="3" t="s">
        <v>233</v>
      </c>
      <c r="C102" s="3" t="s">
        <v>224</v>
      </c>
      <c r="D102" s="3" t="s">
        <v>5</v>
      </c>
      <c r="E102" s="3"/>
      <c r="F102" s="3">
        <v>2005</v>
      </c>
      <c r="G102" s="3" t="s">
        <v>7</v>
      </c>
      <c r="H102" s="3" t="s">
        <v>185</v>
      </c>
      <c r="I102" s="3" t="s">
        <v>234</v>
      </c>
      <c r="J102" s="3" t="s">
        <v>422</v>
      </c>
      <c r="K102" s="3">
        <v>124500</v>
      </c>
      <c r="L102" s="3">
        <v>172.222222222222</v>
      </c>
      <c r="M102" s="3">
        <v>5.62489959839357E-2</v>
      </c>
      <c r="N102" s="3">
        <v>7003</v>
      </c>
      <c r="P102" t="s">
        <v>26</v>
      </c>
    </row>
    <row r="103" spans="1:16">
      <c r="A103" s="3">
        <v>102</v>
      </c>
      <c r="B103" s="7" t="s">
        <v>235</v>
      </c>
      <c r="C103" s="3" t="s">
        <v>224</v>
      </c>
      <c r="D103" s="3" t="s">
        <v>5</v>
      </c>
      <c r="E103" s="3"/>
      <c r="F103" s="3">
        <v>2005</v>
      </c>
      <c r="G103" s="3" t="s">
        <v>7</v>
      </c>
      <c r="H103" s="3" t="s">
        <v>185</v>
      </c>
      <c r="I103" s="7" t="s">
        <v>434</v>
      </c>
      <c r="J103" s="3" t="s">
        <v>422</v>
      </c>
      <c r="K103" s="3">
        <v>64000</v>
      </c>
      <c r="L103" s="3">
        <v>183.333333333333</v>
      </c>
      <c r="M103" s="3">
        <v>9.1593750000000002E-2</v>
      </c>
      <c r="N103" s="3">
        <v>5862</v>
      </c>
      <c r="P103" t="s">
        <v>118</v>
      </c>
    </row>
    <row r="104" spans="1:16">
      <c r="A104" s="3">
        <v>103</v>
      </c>
      <c r="B104" s="3" t="s">
        <v>236</v>
      </c>
      <c r="C104" s="3" t="s">
        <v>224</v>
      </c>
      <c r="D104" s="3" t="s">
        <v>5</v>
      </c>
      <c r="E104" s="3"/>
      <c r="F104" s="3">
        <v>2009</v>
      </c>
      <c r="G104" s="3" t="s">
        <v>7</v>
      </c>
      <c r="H104" s="3" t="s">
        <v>185</v>
      </c>
      <c r="I104" s="3" t="s">
        <v>237</v>
      </c>
      <c r="J104" s="3" t="s">
        <v>422</v>
      </c>
      <c r="K104" s="3">
        <v>25000</v>
      </c>
      <c r="L104" s="3">
        <v>284.16666666666703</v>
      </c>
      <c r="M104" s="3">
        <v>0</v>
      </c>
      <c r="N104" s="3">
        <v>0</v>
      </c>
      <c r="P104" t="s">
        <v>63</v>
      </c>
    </row>
    <row r="105" spans="1:16">
      <c r="A105" s="3">
        <v>104</v>
      </c>
      <c r="B105" s="3" t="s">
        <v>238</v>
      </c>
      <c r="C105" s="3" t="s">
        <v>224</v>
      </c>
      <c r="D105" s="3" t="s">
        <v>5</v>
      </c>
      <c r="E105" s="3"/>
      <c r="F105" s="3">
        <v>2014</v>
      </c>
      <c r="G105" s="3" t="s">
        <v>7</v>
      </c>
      <c r="H105" s="3" t="s">
        <v>185</v>
      </c>
      <c r="I105" s="3" t="s">
        <v>239</v>
      </c>
      <c r="J105" s="3" t="s">
        <v>422</v>
      </c>
      <c r="K105" s="3">
        <v>38498</v>
      </c>
      <c r="L105" s="3">
        <v>177.777777777778</v>
      </c>
      <c r="M105" s="3">
        <v>3.1404228791106002E-3</v>
      </c>
      <c r="N105" s="3">
        <v>120.9</v>
      </c>
      <c r="P105" t="s">
        <v>76</v>
      </c>
    </row>
    <row r="106" spans="1:16">
      <c r="A106" s="3">
        <v>105</v>
      </c>
      <c r="B106" s="3" t="s">
        <v>484</v>
      </c>
      <c r="C106" s="3" t="s">
        <v>224</v>
      </c>
      <c r="D106" s="3" t="s">
        <v>187</v>
      </c>
      <c r="E106" s="3"/>
      <c r="F106" s="3" t="e">
        <f>VLOOKUP(B106,'[1]GradeA+Prime A'!$A:$C,3,FALSE)</f>
        <v>#N/A</v>
      </c>
      <c r="G106" s="3" t="s">
        <v>7</v>
      </c>
      <c r="H106" s="3" t="s">
        <v>185</v>
      </c>
      <c r="I106" s="3" t="s">
        <v>240</v>
      </c>
      <c r="J106" s="3" t="s">
        <v>406</v>
      </c>
      <c r="K106" s="3">
        <v>166433</v>
      </c>
      <c r="L106" s="3">
        <v>186.666666666667</v>
      </c>
      <c r="M106" s="3">
        <v>0.13939543239621899</v>
      </c>
      <c r="N106" s="3">
        <v>23200</v>
      </c>
    </row>
    <row r="107" spans="1:16">
      <c r="A107" s="3">
        <v>106</v>
      </c>
      <c r="B107" s="3" t="s">
        <v>241</v>
      </c>
      <c r="C107" s="3" t="s">
        <v>224</v>
      </c>
      <c r="D107" s="3" t="s">
        <v>14</v>
      </c>
      <c r="E107" s="3" t="s">
        <v>23</v>
      </c>
      <c r="F107" s="3">
        <v>2015</v>
      </c>
      <c r="G107" s="3" t="s">
        <v>7</v>
      </c>
      <c r="H107" s="3" t="s">
        <v>185</v>
      </c>
      <c r="I107" s="3" t="s">
        <v>242</v>
      </c>
      <c r="J107" s="3" t="s">
        <v>422</v>
      </c>
      <c r="K107" s="3">
        <v>58000</v>
      </c>
      <c r="L107" s="3">
        <v>373.33333333333297</v>
      </c>
      <c r="M107" s="3">
        <v>2.5862068965517199E-2</v>
      </c>
      <c r="N107" s="3">
        <v>1500</v>
      </c>
      <c r="P107" t="s">
        <v>178</v>
      </c>
    </row>
    <row r="108" spans="1:16">
      <c r="A108" s="3">
        <v>107</v>
      </c>
      <c r="B108" s="3" t="s">
        <v>243</v>
      </c>
      <c r="C108" s="3" t="s">
        <v>224</v>
      </c>
      <c r="D108" s="3" t="s">
        <v>5</v>
      </c>
      <c r="E108" s="3"/>
      <c r="F108" s="3">
        <v>2015</v>
      </c>
      <c r="G108" s="3" t="s">
        <v>7</v>
      </c>
      <c r="H108" s="3" t="s">
        <v>185</v>
      </c>
      <c r="I108" s="3" t="s">
        <v>245</v>
      </c>
      <c r="J108" s="3" t="s">
        <v>406</v>
      </c>
      <c r="K108" s="3">
        <v>51872</v>
      </c>
      <c r="L108" s="3">
        <v>302.5</v>
      </c>
      <c r="M108" s="3">
        <v>0</v>
      </c>
      <c r="N108" s="3">
        <v>0</v>
      </c>
      <c r="P108" t="s">
        <v>244</v>
      </c>
    </row>
    <row r="109" spans="1:16">
      <c r="A109" s="3">
        <v>108</v>
      </c>
      <c r="B109" s="3" t="s">
        <v>246</v>
      </c>
      <c r="C109" s="3" t="s">
        <v>224</v>
      </c>
      <c r="D109" s="3" t="s">
        <v>5</v>
      </c>
      <c r="E109" s="3"/>
      <c r="F109" s="3">
        <v>2016</v>
      </c>
      <c r="G109" s="3" t="s">
        <v>7</v>
      </c>
      <c r="H109" s="3" t="s">
        <v>185</v>
      </c>
      <c r="I109" s="3" t="s">
        <v>247</v>
      </c>
      <c r="J109" s="3" t="s">
        <v>406</v>
      </c>
      <c r="K109" s="3">
        <v>21632</v>
      </c>
      <c r="L109" s="3">
        <v>229.5</v>
      </c>
      <c r="M109" s="3">
        <v>0</v>
      </c>
      <c r="N109" s="3">
        <v>0</v>
      </c>
      <c r="P109" t="s">
        <v>180</v>
      </c>
    </row>
    <row r="110" spans="1:16">
      <c r="A110" s="3">
        <v>109</v>
      </c>
      <c r="B110" s="3" t="s">
        <v>248</v>
      </c>
      <c r="C110" s="3" t="s">
        <v>224</v>
      </c>
      <c r="D110" s="3" t="s">
        <v>5</v>
      </c>
      <c r="E110" s="3"/>
      <c r="F110" s="3">
        <v>2016</v>
      </c>
      <c r="G110" s="3" t="s">
        <v>7</v>
      </c>
      <c r="H110" s="3" t="s">
        <v>185</v>
      </c>
      <c r="I110" s="3" t="s">
        <v>249</v>
      </c>
      <c r="J110" s="3" t="s">
        <v>406</v>
      </c>
      <c r="K110" s="3">
        <v>69000</v>
      </c>
      <c r="L110" s="3">
        <v>186.666666666667</v>
      </c>
      <c r="M110" s="3">
        <v>0.22942028985507301</v>
      </c>
      <c r="N110" s="3">
        <v>15830</v>
      </c>
      <c r="P110" t="s">
        <v>180</v>
      </c>
    </row>
    <row r="111" spans="1:16">
      <c r="A111" s="3">
        <v>110</v>
      </c>
      <c r="B111" s="3" t="s">
        <v>250</v>
      </c>
      <c r="C111" s="3" t="s">
        <v>224</v>
      </c>
      <c r="D111" s="3" t="s">
        <v>5</v>
      </c>
      <c r="E111" s="3"/>
      <c r="F111" s="3">
        <v>2017</v>
      </c>
      <c r="G111" s="3" t="s">
        <v>7</v>
      </c>
      <c r="H111" s="3" t="s">
        <v>185</v>
      </c>
      <c r="I111" s="3" t="s">
        <v>252</v>
      </c>
      <c r="J111" s="3" t="s">
        <v>406</v>
      </c>
      <c r="K111" s="3">
        <v>54000</v>
      </c>
      <c r="L111" s="3">
        <v>151.111111111111</v>
      </c>
      <c r="M111" s="3">
        <v>0.36928703703703702</v>
      </c>
      <c r="N111" s="3">
        <v>19941.5</v>
      </c>
      <c r="P111" t="s">
        <v>251</v>
      </c>
    </row>
    <row r="112" spans="1:16">
      <c r="A112" s="3">
        <v>111</v>
      </c>
      <c r="B112" s="3" t="s">
        <v>253</v>
      </c>
      <c r="C112" s="3" t="s">
        <v>224</v>
      </c>
      <c r="D112" s="3" t="s">
        <v>5</v>
      </c>
      <c r="E112" s="3" t="s">
        <v>16</v>
      </c>
      <c r="F112" s="3">
        <v>2021</v>
      </c>
      <c r="G112" s="3" t="s">
        <v>7</v>
      </c>
      <c r="H112" s="3" t="s">
        <v>185</v>
      </c>
      <c r="I112" s="3" t="s">
        <v>254</v>
      </c>
      <c r="J112" s="3" t="s">
        <v>406</v>
      </c>
      <c r="K112" s="3">
        <v>57400</v>
      </c>
      <c r="L112" s="3">
        <v>280</v>
      </c>
      <c r="M112" s="3">
        <v>1.74216027874564E-2</v>
      </c>
      <c r="N112" s="3">
        <v>1000</v>
      </c>
    </row>
    <row r="113" spans="1:16">
      <c r="A113" s="3">
        <v>112</v>
      </c>
      <c r="B113" s="7" t="s">
        <v>485</v>
      </c>
      <c r="C113" s="3" t="s">
        <v>224</v>
      </c>
      <c r="D113" s="3" t="s">
        <v>14</v>
      </c>
      <c r="E113" s="3" t="s">
        <v>16</v>
      </c>
      <c r="F113" s="3">
        <v>2023</v>
      </c>
      <c r="G113" s="3" t="s">
        <v>7</v>
      </c>
      <c r="H113" s="3" t="s">
        <v>185</v>
      </c>
      <c r="I113" s="7" t="s">
        <v>436</v>
      </c>
      <c r="J113" s="3" t="s">
        <v>406</v>
      </c>
      <c r="K113" s="3">
        <v>60000</v>
      </c>
      <c r="L113" s="3">
        <v>284.16666666666703</v>
      </c>
      <c r="M113" s="3">
        <v>7.1166666666666696E-3</v>
      </c>
      <c r="N113" s="3">
        <v>427</v>
      </c>
    </row>
    <row r="114" spans="1:16">
      <c r="A114" s="3">
        <v>113</v>
      </c>
      <c r="B114" s="7" t="s">
        <v>486</v>
      </c>
      <c r="C114" s="3" t="s">
        <v>224</v>
      </c>
      <c r="D114" s="3" t="s">
        <v>14</v>
      </c>
      <c r="E114" s="3" t="s">
        <v>16</v>
      </c>
      <c r="F114" s="3">
        <v>2023</v>
      </c>
      <c r="G114" s="3" t="s">
        <v>7</v>
      </c>
      <c r="H114" s="3" t="s">
        <v>185</v>
      </c>
      <c r="I114" s="7" t="s">
        <v>435</v>
      </c>
      <c r="J114" s="3" t="s">
        <v>406</v>
      </c>
      <c r="K114" s="3">
        <v>60000</v>
      </c>
      <c r="L114" s="3">
        <v>231.388888888889</v>
      </c>
      <c r="M114" s="3">
        <v>0.19166666666666701</v>
      </c>
      <c r="N114" s="3">
        <v>11500</v>
      </c>
    </row>
    <row r="115" spans="1:16">
      <c r="A115" s="3">
        <v>114</v>
      </c>
      <c r="B115" s="7" t="s">
        <v>487</v>
      </c>
      <c r="C115" s="3" t="s">
        <v>224</v>
      </c>
      <c r="D115" s="3" t="s">
        <v>5</v>
      </c>
      <c r="E115" s="3"/>
      <c r="F115" s="3">
        <v>2023</v>
      </c>
      <c r="G115" s="3" t="s">
        <v>7</v>
      </c>
      <c r="H115" s="3" t="s">
        <v>185</v>
      </c>
      <c r="I115" s="9" t="s">
        <v>437</v>
      </c>
      <c r="J115" s="3" t="s">
        <v>406</v>
      </c>
      <c r="K115" s="3">
        <v>33000</v>
      </c>
      <c r="L115" s="3">
        <v>311.66666666666703</v>
      </c>
      <c r="M115" s="3">
        <v>0</v>
      </c>
      <c r="N115" s="3">
        <v>0</v>
      </c>
    </row>
    <row r="116" spans="1:16">
      <c r="A116" s="3">
        <v>115</v>
      </c>
      <c r="B116" s="3" t="s">
        <v>255</v>
      </c>
      <c r="C116" s="3" t="s">
        <v>224</v>
      </c>
      <c r="D116" s="3" t="s">
        <v>187</v>
      </c>
      <c r="E116" s="3"/>
      <c r="F116" s="3">
        <v>2009</v>
      </c>
      <c r="G116" s="3" t="s">
        <v>7</v>
      </c>
      <c r="H116" s="3" t="s">
        <v>185</v>
      </c>
      <c r="I116" s="3" t="s">
        <v>256</v>
      </c>
      <c r="J116" s="3" t="s">
        <v>406</v>
      </c>
      <c r="K116" s="3">
        <v>88786</v>
      </c>
      <c r="L116" s="3">
        <v>180.833333333333</v>
      </c>
      <c r="M116" s="3">
        <v>0.23652377627103399</v>
      </c>
      <c r="N116" s="3">
        <v>21000</v>
      </c>
    </row>
    <row r="117" spans="1:16">
      <c r="A117" s="3">
        <v>116</v>
      </c>
      <c r="B117" s="3" t="s">
        <v>257</v>
      </c>
      <c r="C117" s="3" t="s">
        <v>224</v>
      </c>
      <c r="D117" s="3" t="s">
        <v>187</v>
      </c>
      <c r="E117" s="3"/>
      <c r="F117" s="3">
        <v>2016</v>
      </c>
      <c r="G117" s="3" t="s">
        <v>7</v>
      </c>
      <c r="H117" s="3" t="s">
        <v>185</v>
      </c>
      <c r="I117" s="3" t="s">
        <v>258</v>
      </c>
      <c r="J117" s="3" t="s">
        <v>406</v>
      </c>
      <c r="K117" s="3">
        <v>134000</v>
      </c>
      <c r="L117" s="3">
        <v>193.75</v>
      </c>
      <c r="M117" s="3">
        <v>0.23798507462686599</v>
      </c>
      <c r="N117" s="3">
        <v>31890</v>
      </c>
    </row>
    <row r="118" spans="1:16">
      <c r="A118" s="3">
        <v>117</v>
      </c>
      <c r="B118" s="3" t="s">
        <v>259</v>
      </c>
      <c r="C118" s="3" t="s">
        <v>224</v>
      </c>
      <c r="D118" s="3" t="s">
        <v>187</v>
      </c>
      <c r="E118" s="3"/>
      <c r="F118" s="3">
        <v>2021</v>
      </c>
      <c r="G118" s="3" t="s">
        <v>7</v>
      </c>
      <c r="H118" s="3" t="s">
        <v>185</v>
      </c>
      <c r="I118" s="3" t="s">
        <v>260</v>
      </c>
      <c r="J118" s="3" t="s">
        <v>406</v>
      </c>
      <c r="K118" s="3">
        <v>35000</v>
      </c>
      <c r="L118" s="3">
        <v>225</v>
      </c>
      <c r="M118" s="3">
        <v>3.1885714285714302E-2</v>
      </c>
      <c r="N118" s="3">
        <v>1116</v>
      </c>
    </row>
    <row r="119" spans="1:16">
      <c r="A119" s="3">
        <v>118</v>
      </c>
      <c r="B119" s="3" t="s">
        <v>261</v>
      </c>
      <c r="C119" s="3" t="s">
        <v>224</v>
      </c>
      <c r="D119" s="3" t="s">
        <v>187</v>
      </c>
      <c r="E119" s="3"/>
      <c r="F119" s="3">
        <v>2004</v>
      </c>
      <c r="G119" s="3" t="s">
        <v>7</v>
      </c>
      <c r="H119" s="3" t="s">
        <v>185</v>
      </c>
      <c r="I119" s="3" t="s">
        <v>262</v>
      </c>
      <c r="J119" s="3" t="s">
        <v>406</v>
      </c>
      <c r="K119" s="3">
        <v>18000</v>
      </c>
      <c r="L119" s="3">
        <v>232.5</v>
      </c>
      <c r="M119" s="3">
        <v>0</v>
      </c>
      <c r="N119" s="3">
        <v>0</v>
      </c>
    </row>
    <row r="120" spans="1:16">
      <c r="A120" s="3">
        <v>119</v>
      </c>
      <c r="B120" s="3" t="s">
        <v>263</v>
      </c>
      <c r="C120" s="3" t="s">
        <v>224</v>
      </c>
      <c r="D120" s="3" t="s">
        <v>187</v>
      </c>
      <c r="E120" s="3" t="s">
        <v>16</v>
      </c>
      <c r="F120" s="3">
        <v>2006</v>
      </c>
      <c r="G120" s="3" t="s">
        <v>7</v>
      </c>
      <c r="H120" s="3" t="s">
        <v>185</v>
      </c>
      <c r="I120" s="3" t="s">
        <v>264</v>
      </c>
      <c r="J120" s="3" t="s">
        <v>406</v>
      </c>
      <c r="K120" s="3">
        <v>105741</v>
      </c>
      <c r="L120" s="3">
        <v>172.222222222222</v>
      </c>
      <c r="M120" s="3">
        <v>5.2959589941460702E-2</v>
      </c>
      <c r="N120" s="3">
        <v>5600</v>
      </c>
    </row>
    <row r="121" spans="1:16">
      <c r="A121" s="3">
        <v>120</v>
      </c>
      <c r="B121" s="3" t="s">
        <v>265</v>
      </c>
      <c r="C121" s="3" t="s">
        <v>224</v>
      </c>
      <c r="D121" s="3" t="s">
        <v>187</v>
      </c>
      <c r="E121" s="3" t="s">
        <v>16</v>
      </c>
      <c r="F121" s="3">
        <v>2024</v>
      </c>
      <c r="G121" s="3" t="s">
        <v>7</v>
      </c>
      <c r="H121" s="3" t="s">
        <v>185</v>
      </c>
      <c r="I121" s="3" t="s">
        <v>266</v>
      </c>
      <c r="J121" s="3" t="s">
        <v>406</v>
      </c>
      <c r="K121" s="3">
        <v>51000</v>
      </c>
      <c r="L121" s="3">
        <v>250</v>
      </c>
      <c r="M121" s="3">
        <v>0</v>
      </c>
      <c r="N121" s="3">
        <v>0</v>
      </c>
    </row>
    <row r="122" spans="1:16">
      <c r="A122" s="3">
        <v>121</v>
      </c>
      <c r="B122" s="7" t="s">
        <v>488</v>
      </c>
      <c r="C122" s="3" t="s">
        <v>224</v>
      </c>
      <c r="D122" s="3" t="s">
        <v>5</v>
      </c>
      <c r="E122" s="3" t="s">
        <v>16</v>
      </c>
      <c r="F122" s="3">
        <v>2024</v>
      </c>
      <c r="G122" s="3" t="s">
        <v>7</v>
      </c>
      <c r="H122" s="3" t="s">
        <v>185</v>
      </c>
      <c r="I122" s="10" t="s">
        <v>456</v>
      </c>
      <c r="J122" s="3" t="s">
        <v>406</v>
      </c>
      <c r="K122" s="3">
        <v>130143</v>
      </c>
      <c r="L122" s="3">
        <v>125</v>
      </c>
      <c r="M122" s="3">
        <v>0.27661879624720498</v>
      </c>
      <c r="N122" s="3">
        <v>36000</v>
      </c>
    </row>
    <row r="123" spans="1:16">
      <c r="A123" s="3">
        <v>122</v>
      </c>
      <c r="B123" s="7" t="s">
        <v>427</v>
      </c>
      <c r="C123" s="3" t="s">
        <v>224</v>
      </c>
      <c r="D123" s="3"/>
      <c r="E123" s="3"/>
      <c r="F123" s="3">
        <v>2025</v>
      </c>
      <c r="G123" s="3" t="s">
        <v>7</v>
      </c>
      <c r="H123" s="3" t="s">
        <v>185</v>
      </c>
      <c r="I123" s="10" t="s">
        <v>457</v>
      </c>
      <c r="J123" s="3" t="s">
        <v>406</v>
      </c>
      <c r="K123" s="3">
        <v>121551.47</v>
      </c>
      <c r="L123" s="3">
        <v>151.111111111111</v>
      </c>
      <c r="M123" s="3">
        <v>0.800701710970669</v>
      </c>
      <c r="N123" s="3">
        <v>97326.47</v>
      </c>
    </row>
    <row r="124" spans="1:16">
      <c r="A124" s="3">
        <v>123</v>
      </c>
      <c r="B124" s="3" t="s">
        <v>489</v>
      </c>
      <c r="C124" s="3" t="s">
        <v>267</v>
      </c>
      <c r="D124" s="3" t="s">
        <v>5</v>
      </c>
      <c r="E124" s="3" t="s">
        <v>16</v>
      </c>
      <c r="F124" s="3">
        <v>2008</v>
      </c>
      <c r="G124" s="3" t="s">
        <v>7</v>
      </c>
      <c r="H124" s="3" t="s">
        <v>8</v>
      </c>
      <c r="I124" s="3" t="s">
        <v>269</v>
      </c>
      <c r="J124" s="3" t="s">
        <v>407</v>
      </c>
      <c r="K124" s="3">
        <v>110000</v>
      </c>
      <c r="L124" s="3">
        <v>170.833333333333</v>
      </c>
      <c r="M124" s="3">
        <v>0.14505645454545399</v>
      </c>
      <c r="N124" s="3">
        <v>15956.21</v>
      </c>
      <c r="P124" t="s">
        <v>268</v>
      </c>
    </row>
    <row r="125" spans="1:16">
      <c r="A125" s="3">
        <v>124</v>
      </c>
      <c r="B125" s="3" t="s">
        <v>270</v>
      </c>
      <c r="C125" s="3" t="s">
        <v>267</v>
      </c>
      <c r="D125" s="3" t="s">
        <v>5</v>
      </c>
      <c r="E125" s="3" t="s">
        <v>23</v>
      </c>
      <c r="F125" s="3">
        <v>2011</v>
      </c>
      <c r="G125" s="3" t="s">
        <v>7</v>
      </c>
      <c r="H125" s="3" t="s">
        <v>8</v>
      </c>
      <c r="I125" s="3" t="s">
        <v>271</v>
      </c>
      <c r="J125" s="3" t="s">
        <v>407</v>
      </c>
      <c r="K125" s="3">
        <v>56000</v>
      </c>
      <c r="L125" s="3">
        <v>154.166666666667</v>
      </c>
      <c r="M125" s="3">
        <v>0.11841071428571399</v>
      </c>
      <c r="N125" s="3">
        <v>6631</v>
      </c>
      <c r="P125" t="s">
        <v>203</v>
      </c>
    </row>
    <row r="126" spans="1:16">
      <c r="A126" s="3">
        <v>125</v>
      </c>
      <c r="B126" s="3" t="s">
        <v>272</v>
      </c>
      <c r="C126" s="3" t="s">
        <v>267</v>
      </c>
      <c r="D126" s="3" t="s">
        <v>5</v>
      </c>
      <c r="E126" s="3"/>
      <c r="F126" s="3">
        <v>2015</v>
      </c>
      <c r="G126" s="3" t="s">
        <v>7</v>
      </c>
      <c r="H126" s="3" t="s">
        <v>8</v>
      </c>
      <c r="I126" s="3" t="s">
        <v>273</v>
      </c>
      <c r="J126" s="3" t="s">
        <v>407</v>
      </c>
      <c r="K126" s="3">
        <v>89177</v>
      </c>
      <c r="L126" s="3">
        <v>124.861111111111</v>
      </c>
      <c r="M126" s="3">
        <v>0.160689976114918</v>
      </c>
      <c r="N126" s="3">
        <v>14329.850000000002</v>
      </c>
      <c r="P126" t="s">
        <v>178</v>
      </c>
    </row>
    <row r="127" spans="1:16">
      <c r="A127" s="3">
        <v>126</v>
      </c>
      <c r="B127" s="3" t="s">
        <v>274</v>
      </c>
      <c r="C127" s="3" t="s">
        <v>267</v>
      </c>
      <c r="D127" s="3" t="s">
        <v>5</v>
      </c>
      <c r="E127" s="3" t="s">
        <v>23</v>
      </c>
      <c r="F127" s="3">
        <v>2015</v>
      </c>
      <c r="G127" s="3" t="s">
        <v>7</v>
      </c>
      <c r="H127" s="3" t="s">
        <v>8</v>
      </c>
      <c r="I127" s="3" t="s">
        <v>276</v>
      </c>
      <c r="J127" s="3" t="s">
        <v>407</v>
      </c>
      <c r="K127" s="3">
        <v>30000</v>
      </c>
      <c r="L127" s="3">
        <v>163.611111111111</v>
      </c>
      <c r="M127" s="3">
        <v>0.2198</v>
      </c>
      <c r="N127" s="3">
        <v>6594</v>
      </c>
      <c r="P127" t="s">
        <v>275</v>
      </c>
    </row>
    <row r="128" spans="1:16">
      <c r="A128" s="3">
        <v>127</v>
      </c>
      <c r="B128" s="3" t="s">
        <v>277</v>
      </c>
      <c r="C128" s="3" t="s">
        <v>267</v>
      </c>
      <c r="D128" s="3" t="s">
        <v>5</v>
      </c>
      <c r="E128" s="3" t="s">
        <v>16</v>
      </c>
      <c r="F128" s="3">
        <v>2015</v>
      </c>
      <c r="G128" s="3" t="s">
        <v>7</v>
      </c>
      <c r="H128" s="3" t="s">
        <v>8</v>
      </c>
      <c r="I128" s="3" t="s">
        <v>278</v>
      </c>
      <c r="J128" s="3" t="s">
        <v>407</v>
      </c>
      <c r="K128" s="3">
        <v>54550</v>
      </c>
      <c r="L128" s="3">
        <v>120.833333333333</v>
      </c>
      <c r="M128" s="3">
        <v>0.183318056828598</v>
      </c>
      <c r="N128" s="3">
        <v>10000</v>
      </c>
      <c r="P128" t="s">
        <v>275</v>
      </c>
    </row>
    <row r="129" spans="1:16">
      <c r="A129" s="3">
        <v>128</v>
      </c>
      <c r="B129" s="3" t="s">
        <v>490</v>
      </c>
      <c r="C129" s="3" t="s">
        <v>267</v>
      </c>
      <c r="D129" s="3" t="s">
        <v>5</v>
      </c>
      <c r="E129" s="3" t="s">
        <v>16</v>
      </c>
      <c r="F129" s="3">
        <v>2016</v>
      </c>
      <c r="G129" s="3" t="s">
        <v>7</v>
      </c>
      <c r="H129" s="3" t="s">
        <v>8</v>
      </c>
      <c r="I129" s="3" t="s">
        <v>279</v>
      </c>
      <c r="J129" s="3" t="s">
        <v>407</v>
      </c>
      <c r="K129" s="3">
        <v>125000</v>
      </c>
      <c r="L129" s="3">
        <v>183.333333333333</v>
      </c>
      <c r="M129" s="3">
        <v>0.28566256000000001</v>
      </c>
      <c r="N129" s="3">
        <v>35707.82</v>
      </c>
      <c r="P129" t="s">
        <v>215</v>
      </c>
    </row>
    <row r="130" spans="1:16">
      <c r="A130" s="3">
        <v>129</v>
      </c>
      <c r="B130" s="3" t="s">
        <v>280</v>
      </c>
      <c r="C130" s="3" t="s">
        <v>267</v>
      </c>
      <c r="D130" s="3" t="s">
        <v>5</v>
      </c>
      <c r="E130" s="3" t="s">
        <v>16</v>
      </c>
      <c r="F130" s="3">
        <v>2016</v>
      </c>
      <c r="G130" s="3" t="s">
        <v>7</v>
      </c>
      <c r="H130" s="3" t="s">
        <v>8</v>
      </c>
      <c r="I130" s="3" t="s">
        <v>282</v>
      </c>
      <c r="J130" s="3" t="s">
        <v>407</v>
      </c>
      <c r="K130" s="3">
        <v>69100</v>
      </c>
      <c r="L130" s="3">
        <v>155.555555555555</v>
      </c>
      <c r="M130" s="3">
        <v>5.9334298118668603E-2</v>
      </c>
      <c r="N130" s="3">
        <v>4100</v>
      </c>
      <c r="P130" t="s">
        <v>281</v>
      </c>
    </row>
    <row r="131" spans="1:16">
      <c r="A131" s="3">
        <v>130</v>
      </c>
      <c r="B131" s="3" t="s">
        <v>283</v>
      </c>
      <c r="C131" s="3" t="s">
        <v>267</v>
      </c>
      <c r="D131" s="3" t="s">
        <v>5</v>
      </c>
      <c r="E131" s="3" t="s">
        <v>23</v>
      </c>
      <c r="F131" s="3">
        <v>2018</v>
      </c>
      <c r="G131" s="3" t="s">
        <v>7</v>
      </c>
      <c r="H131" s="3" t="s">
        <v>8</v>
      </c>
      <c r="I131" s="3" t="s">
        <v>284</v>
      </c>
      <c r="J131" s="3" t="s">
        <v>407</v>
      </c>
      <c r="K131" s="3">
        <v>118290</v>
      </c>
      <c r="L131" s="3">
        <v>153.055555555555</v>
      </c>
      <c r="M131" s="3">
        <v>0.166624397666751</v>
      </c>
      <c r="N131" s="3">
        <v>19710</v>
      </c>
      <c r="P131" t="s">
        <v>141</v>
      </c>
    </row>
    <row r="132" spans="1:16">
      <c r="A132" s="3">
        <v>131</v>
      </c>
      <c r="B132" s="3" t="s">
        <v>491</v>
      </c>
      <c r="C132" s="3" t="s">
        <v>267</v>
      </c>
      <c r="D132" s="3" t="s">
        <v>5</v>
      </c>
      <c r="E132" s="3" t="s">
        <v>16</v>
      </c>
      <c r="F132" s="3">
        <v>2018</v>
      </c>
      <c r="G132" s="3" t="s">
        <v>7</v>
      </c>
      <c r="H132" s="3" t="s">
        <v>8</v>
      </c>
      <c r="I132" s="3" t="s">
        <v>286</v>
      </c>
      <c r="J132" s="3" t="s">
        <v>407</v>
      </c>
      <c r="K132" s="3">
        <v>79900</v>
      </c>
      <c r="L132" s="3">
        <v>155.555555555555</v>
      </c>
      <c r="M132" s="3">
        <v>0.14313241551939901</v>
      </c>
      <c r="N132" s="3">
        <v>11436.280000000002</v>
      </c>
      <c r="P132" t="s">
        <v>285</v>
      </c>
    </row>
    <row r="133" spans="1:16">
      <c r="A133" s="3">
        <v>132</v>
      </c>
      <c r="B133" s="3" t="s">
        <v>287</v>
      </c>
      <c r="C133" s="3" t="s">
        <v>267</v>
      </c>
      <c r="D133" s="3" t="s">
        <v>5</v>
      </c>
      <c r="E133" s="3" t="s">
        <v>16</v>
      </c>
      <c r="F133" s="3">
        <v>2018</v>
      </c>
      <c r="G133" s="3" t="s">
        <v>7</v>
      </c>
      <c r="H133" s="3" t="s">
        <v>8</v>
      </c>
      <c r="I133" s="3" t="s">
        <v>288</v>
      </c>
      <c r="J133" s="3" t="s">
        <v>407</v>
      </c>
      <c r="K133" s="3">
        <v>39742.379999999997</v>
      </c>
      <c r="L133" s="3">
        <v>133.472222222222</v>
      </c>
      <c r="M133" s="3">
        <v>0.14746550156281499</v>
      </c>
      <c r="N133" s="3">
        <v>5860.63</v>
      </c>
      <c r="P133" t="s">
        <v>143</v>
      </c>
    </row>
    <row r="134" spans="1:16">
      <c r="A134" s="3">
        <v>133</v>
      </c>
      <c r="B134" s="3" t="s">
        <v>289</v>
      </c>
      <c r="C134" s="3" t="s">
        <v>267</v>
      </c>
      <c r="D134" s="3" t="s">
        <v>5</v>
      </c>
      <c r="E134" s="3" t="s">
        <v>16</v>
      </c>
      <c r="F134" s="3">
        <v>2019</v>
      </c>
      <c r="G134" s="3" t="s">
        <v>7</v>
      </c>
      <c r="H134" s="3" t="s">
        <v>8</v>
      </c>
      <c r="I134" s="3" t="s">
        <v>290</v>
      </c>
      <c r="J134" s="3" t="s">
        <v>407</v>
      </c>
      <c r="K134" s="3">
        <v>48000</v>
      </c>
      <c r="L134" s="3">
        <v>152.777777777778</v>
      </c>
      <c r="M134" s="3">
        <v>0.13894520833333299</v>
      </c>
      <c r="N134" s="3">
        <v>6669.369999999999</v>
      </c>
      <c r="P134" t="s">
        <v>81</v>
      </c>
    </row>
    <row r="135" spans="1:16">
      <c r="A135" s="3">
        <v>134</v>
      </c>
      <c r="B135" s="3" t="s">
        <v>493</v>
      </c>
      <c r="C135" s="3" t="s">
        <v>267</v>
      </c>
      <c r="D135" s="3" t="s">
        <v>14</v>
      </c>
      <c r="E135" s="3" t="s">
        <v>23</v>
      </c>
      <c r="F135" s="3" t="e">
        <f>VLOOKUP(B135,'[1]GradeA+Prime A'!$A:$C,3,FALSE)</f>
        <v>#N/A</v>
      </c>
      <c r="G135" s="3" t="s">
        <v>7</v>
      </c>
      <c r="H135" s="3" t="s">
        <v>8</v>
      </c>
      <c r="I135" s="3" t="s">
        <v>291</v>
      </c>
      <c r="J135" s="3" t="s">
        <v>407</v>
      </c>
      <c r="K135" s="3">
        <v>74722</v>
      </c>
      <c r="L135" s="3">
        <v>159.444444444445</v>
      </c>
      <c r="M135" s="3">
        <v>0.431922325419555</v>
      </c>
      <c r="N135" s="3">
        <v>32274.100000000002</v>
      </c>
    </row>
    <row r="136" spans="1:16">
      <c r="A136" s="3">
        <v>135</v>
      </c>
      <c r="B136" s="3" t="s">
        <v>492</v>
      </c>
      <c r="C136" s="3" t="s">
        <v>267</v>
      </c>
      <c r="D136" s="3" t="s">
        <v>187</v>
      </c>
      <c r="E136" s="3" t="s">
        <v>368</v>
      </c>
      <c r="F136" s="3" t="e">
        <f>VLOOKUP(B136,'[1]GradeA+Prime A'!$A:$C,3,FALSE)</f>
        <v>#N/A</v>
      </c>
      <c r="G136" s="3" t="s">
        <v>7</v>
      </c>
      <c r="H136" s="3" t="s">
        <v>8</v>
      </c>
      <c r="I136" s="3" t="s">
        <v>292</v>
      </c>
      <c r="J136" s="3" t="s">
        <v>407</v>
      </c>
      <c r="K136" s="3">
        <v>55000</v>
      </c>
      <c r="L136" s="3">
        <v>120.555555555556</v>
      </c>
      <c r="M136" s="3">
        <v>3.4563636363636401E-2</v>
      </c>
      <c r="N136" s="3">
        <v>1901</v>
      </c>
    </row>
    <row r="137" spans="1:16">
      <c r="A137" s="3">
        <v>136</v>
      </c>
      <c r="B137" s="3" t="s">
        <v>293</v>
      </c>
      <c r="C137" s="3" t="s">
        <v>294</v>
      </c>
      <c r="D137" s="3" t="s">
        <v>5</v>
      </c>
      <c r="E137" s="3"/>
      <c r="F137" s="3" t="s">
        <v>467</v>
      </c>
      <c r="G137" s="3" t="s">
        <v>7</v>
      </c>
      <c r="H137" s="3" t="s">
        <v>107</v>
      </c>
      <c r="I137" s="3" t="s">
        <v>295</v>
      </c>
      <c r="J137" s="3" t="s">
        <v>420</v>
      </c>
      <c r="K137" s="3">
        <v>128000</v>
      </c>
      <c r="L137" s="3">
        <v>197.083333333333</v>
      </c>
      <c r="M137" s="3">
        <v>6.7101562500000003E-2</v>
      </c>
      <c r="N137" s="3">
        <v>6126</v>
      </c>
    </row>
    <row r="138" spans="1:16">
      <c r="A138" s="3">
        <v>137</v>
      </c>
      <c r="B138" s="3" t="s">
        <v>296</v>
      </c>
      <c r="C138" s="3" t="s">
        <v>294</v>
      </c>
      <c r="D138" s="3" t="s">
        <v>5</v>
      </c>
      <c r="E138" s="3" t="s">
        <v>16</v>
      </c>
      <c r="F138" s="3">
        <v>2008</v>
      </c>
      <c r="G138" s="3" t="s">
        <v>7</v>
      </c>
      <c r="H138" s="3" t="s">
        <v>107</v>
      </c>
      <c r="I138" s="3" t="s">
        <v>297</v>
      </c>
      <c r="J138" s="3" t="s">
        <v>420</v>
      </c>
      <c r="K138" s="3">
        <v>122000</v>
      </c>
      <c r="L138" s="3">
        <v>195.555555555555</v>
      </c>
      <c r="M138" s="3">
        <v>1.7885245901639299E-2</v>
      </c>
      <c r="N138" s="3">
        <v>2182</v>
      </c>
      <c r="P138" t="s">
        <v>57</v>
      </c>
    </row>
    <row r="139" spans="1:16">
      <c r="A139" s="3">
        <v>138</v>
      </c>
      <c r="B139" s="3" t="s">
        <v>298</v>
      </c>
      <c r="C139" s="3" t="s">
        <v>294</v>
      </c>
      <c r="D139" s="3" t="s">
        <v>5</v>
      </c>
      <c r="E139" s="3"/>
      <c r="F139" s="3">
        <v>2010</v>
      </c>
      <c r="G139" s="3" t="s">
        <v>7</v>
      </c>
      <c r="H139" s="3" t="s">
        <v>107</v>
      </c>
      <c r="I139" s="3" t="s">
        <v>299</v>
      </c>
      <c r="J139" s="3" t="s">
        <v>420</v>
      </c>
      <c r="K139" s="3">
        <v>22000</v>
      </c>
      <c r="L139" s="3">
        <v>197.083333333333</v>
      </c>
      <c r="M139" s="3">
        <v>0.20981818181818199</v>
      </c>
      <c r="N139" s="3">
        <v>4616</v>
      </c>
      <c r="P139" t="s">
        <v>15</v>
      </c>
    </row>
    <row r="140" spans="1:16">
      <c r="A140" s="3">
        <v>139</v>
      </c>
      <c r="B140" s="3" t="s">
        <v>300</v>
      </c>
      <c r="C140" s="3" t="s">
        <v>294</v>
      </c>
      <c r="D140" s="3" t="s">
        <v>5</v>
      </c>
      <c r="E140" s="3"/>
      <c r="F140" s="3">
        <v>2010</v>
      </c>
      <c r="G140" s="3" t="s">
        <v>7</v>
      </c>
      <c r="H140" s="3" t="s">
        <v>107</v>
      </c>
      <c r="I140" s="3" t="s">
        <v>301</v>
      </c>
      <c r="J140" s="3" t="s">
        <v>420</v>
      </c>
      <c r="K140" s="3">
        <v>10000</v>
      </c>
      <c r="L140" s="3">
        <v>255</v>
      </c>
      <c r="M140" s="3">
        <v>0</v>
      </c>
      <c r="N140" s="3">
        <v>0</v>
      </c>
      <c r="P140" t="s">
        <v>15</v>
      </c>
    </row>
    <row r="141" spans="1:16">
      <c r="A141" s="3">
        <v>140</v>
      </c>
      <c r="B141" s="3" t="s">
        <v>302</v>
      </c>
      <c r="C141" s="3" t="s">
        <v>294</v>
      </c>
      <c r="D141" s="3" t="s">
        <v>5</v>
      </c>
      <c r="E141" s="3"/>
      <c r="F141" s="3">
        <v>2008</v>
      </c>
      <c r="G141" s="3" t="s">
        <v>7</v>
      </c>
      <c r="H141" s="3" t="s">
        <v>8</v>
      </c>
      <c r="I141" s="3" t="s">
        <v>303</v>
      </c>
      <c r="J141" s="3" t="s">
        <v>405</v>
      </c>
      <c r="K141" s="3">
        <v>64000</v>
      </c>
      <c r="L141" s="3">
        <v>177.777777777778</v>
      </c>
      <c r="M141" s="3">
        <v>0.28125</v>
      </c>
      <c r="N141" s="3">
        <v>18000</v>
      </c>
      <c r="P141" t="s">
        <v>54</v>
      </c>
    </row>
    <row r="142" spans="1:16">
      <c r="A142" s="3">
        <v>141</v>
      </c>
      <c r="B142" s="3" t="s">
        <v>304</v>
      </c>
      <c r="C142" s="3" t="s">
        <v>294</v>
      </c>
      <c r="D142" s="3" t="s">
        <v>5</v>
      </c>
      <c r="E142" s="3"/>
      <c r="F142" s="3">
        <v>2009</v>
      </c>
      <c r="G142" s="3" t="s">
        <v>7</v>
      </c>
      <c r="H142" s="3" t="s">
        <v>8</v>
      </c>
      <c r="I142" s="3" t="s">
        <v>305</v>
      </c>
      <c r="J142" s="3" t="s">
        <v>405</v>
      </c>
      <c r="K142" s="3">
        <v>95628</v>
      </c>
      <c r="L142" s="3">
        <v>165</v>
      </c>
      <c r="M142" s="3">
        <v>0.247417074497009</v>
      </c>
      <c r="N142" s="3">
        <v>23660</v>
      </c>
      <c r="P142" t="s">
        <v>63</v>
      </c>
    </row>
    <row r="143" spans="1:16">
      <c r="A143" s="3">
        <v>142</v>
      </c>
      <c r="B143" s="3" t="s">
        <v>306</v>
      </c>
      <c r="C143" s="3" t="s">
        <v>294</v>
      </c>
      <c r="D143" s="3" t="s">
        <v>5</v>
      </c>
      <c r="E143" s="3"/>
      <c r="F143" s="3">
        <v>2009</v>
      </c>
      <c r="G143" s="3" t="s">
        <v>7</v>
      </c>
      <c r="H143" s="3" t="s">
        <v>8</v>
      </c>
      <c r="I143" s="3" t="s">
        <v>308</v>
      </c>
      <c r="J143" s="3" t="s">
        <v>405</v>
      </c>
      <c r="K143" s="3">
        <v>39562</v>
      </c>
      <c r="L143" s="3">
        <v>151.111111111111</v>
      </c>
      <c r="M143" s="3">
        <v>0.183913856731207</v>
      </c>
      <c r="N143" s="3">
        <v>7276</v>
      </c>
      <c r="P143" t="s">
        <v>307</v>
      </c>
    </row>
    <row r="144" spans="1:16">
      <c r="A144" s="3">
        <v>143</v>
      </c>
      <c r="B144" s="3" t="s">
        <v>494</v>
      </c>
      <c r="C144" s="3" t="s">
        <v>294</v>
      </c>
      <c r="D144" s="3" t="s">
        <v>5</v>
      </c>
      <c r="E144" s="3" t="s">
        <v>16</v>
      </c>
      <c r="F144" s="3">
        <v>2010</v>
      </c>
      <c r="G144" s="3" t="s">
        <v>7</v>
      </c>
      <c r="H144" s="3" t="s">
        <v>8</v>
      </c>
      <c r="I144" s="3" t="s">
        <v>310</v>
      </c>
      <c r="J144" s="3" t="s">
        <v>420</v>
      </c>
      <c r="K144" s="3">
        <v>105000</v>
      </c>
      <c r="L144" s="3">
        <v>155.555555555555</v>
      </c>
      <c r="M144" s="3">
        <v>0.75</v>
      </c>
      <c r="N144" s="3">
        <v>78750</v>
      </c>
      <c r="P144" t="s">
        <v>309</v>
      </c>
    </row>
    <row r="145" spans="1:16">
      <c r="A145" s="3">
        <v>144</v>
      </c>
      <c r="B145" s="7" t="s">
        <v>495</v>
      </c>
      <c r="C145" s="3" t="s">
        <v>294</v>
      </c>
      <c r="D145" s="3" t="s">
        <v>5</v>
      </c>
      <c r="E145" s="3" t="s">
        <v>23</v>
      </c>
      <c r="F145" s="3">
        <v>2016</v>
      </c>
      <c r="G145" s="3" t="s">
        <v>7</v>
      </c>
      <c r="H145" s="3" t="s">
        <v>8</v>
      </c>
      <c r="I145" s="7" t="s">
        <v>428</v>
      </c>
      <c r="J145" s="3" t="s">
        <v>420</v>
      </c>
      <c r="K145" s="3">
        <v>60000</v>
      </c>
      <c r="L145" s="3">
        <v>204.444444444445</v>
      </c>
      <c r="M145" s="3">
        <v>0.66666666666666696</v>
      </c>
      <c r="N145" s="3">
        <v>40000</v>
      </c>
      <c r="P145" t="s">
        <v>281</v>
      </c>
    </row>
    <row r="146" spans="1:16">
      <c r="A146" s="3">
        <v>145</v>
      </c>
      <c r="B146" s="3" t="s">
        <v>496</v>
      </c>
      <c r="C146" s="3" t="s">
        <v>294</v>
      </c>
      <c r="D146" s="3" t="s">
        <v>5</v>
      </c>
      <c r="E146" s="3"/>
      <c r="F146" s="3">
        <v>2016</v>
      </c>
      <c r="G146" s="3" t="s">
        <v>7</v>
      </c>
      <c r="H146" s="3" t="s">
        <v>8</v>
      </c>
      <c r="I146" s="3" t="s">
        <v>311</v>
      </c>
      <c r="J146" s="3" t="s">
        <v>405</v>
      </c>
      <c r="K146" s="3">
        <v>39964</v>
      </c>
      <c r="L146" s="3">
        <v>275</v>
      </c>
      <c r="M146" s="3">
        <v>3.2529276348713901E-2</v>
      </c>
      <c r="N146" s="3">
        <v>1300</v>
      </c>
      <c r="P146" t="s">
        <v>135</v>
      </c>
    </row>
    <row r="147" spans="1:16">
      <c r="A147" s="3">
        <v>146</v>
      </c>
      <c r="B147" s="3" t="s">
        <v>312</v>
      </c>
      <c r="C147" s="3" t="s">
        <v>294</v>
      </c>
      <c r="D147" s="3" t="s">
        <v>5</v>
      </c>
      <c r="E147" s="3" t="s">
        <v>16</v>
      </c>
      <c r="F147" s="3">
        <v>2017</v>
      </c>
      <c r="G147" s="3" t="s">
        <v>7</v>
      </c>
      <c r="H147" s="3" t="s">
        <v>8</v>
      </c>
      <c r="I147" s="3" t="s">
        <v>313</v>
      </c>
      <c r="J147" s="3" t="s">
        <v>420</v>
      </c>
      <c r="K147" s="3">
        <v>94000</v>
      </c>
      <c r="L147" s="3">
        <v>257.777777777778</v>
      </c>
      <c r="M147" s="3">
        <v>0.12765957446808501</v>
      </c>
      <c r="N147" s="3">
        <v>12000</v>
      </c>
      <c r="P147" t="s">
        <v>19</v>
      </c>
    </row>
    <row r="148" spans="1:16">
      <c r="A148" s="3">
        <v>147</v>
      </c>
      <c r="B148" s="7" t="s">
        <v>497</v>
      </c>
      <c r="C148" s="3" t="s">
        <v>294</v>
      </c>
      <c r="D148" s="3" t="s">
        <v>5</v>
      </c>
      <c r="E148" s="3" t="s">
        <v>23</v>
      </c>
      <c r="F148" s="3">
        <v>2017</v>
      </c>
      <c r="G148" s="3" t="s">
        <v>7</v>
      </c>
      <c r="H148" s="3" t="s">
        <v>8</v>
      </c>
      <c r="I148" s="7" t="s">
        <v>429</v>
      </c>
      <c r="J148" s="3" t="s">
        <v>420</v>
      </c>
      <c r="K148" s="3">
        <v>75000</v>
      </c>
      <c r="L148" s="3">
        <v>166.666666666667</v>
      </c>
      <c r="M148" s="3">
        <v>0.41537333333333298</v>
      </c>
      <c r="N148" s="3">
        <v>31153</v>
      </c>
      <c r="P148" t="s">
        <v>138</v>
      </c>
    </row>
    <row r="149" spans="1:16">
      <c r="A149" s="3">
        <v>148</v>
      </c>
      <c r="B149" s="7" t="s">
        <v>164</v>
      </c>
      <c r="C149" s="3" t="s">
        <v>294</v>
      </c>
      <c r="D149" s="3" t="s">
        <v>5</v>
      </c>
      <c r="E149" s="3" t="s">
        <v>16</v>
      </c>
      <c r="F149" s="3">
        <v>2017</v>
      </c>
      <c r="G149" s="3" t="s">
        <v>7</v>
      </c>
      <c r="H149" s="11" t="s">
        <v>8</v>
      </c>
      <c r="I149" s="7" t="s">
        <v>458</v>
      </c>
      <c r="J149" s="3" t="s">
        <v>420</v>
      </c>
      <c r="K149" s="3">
        <v>48767</v>
      </c>
      <c r="L149" s="3">
        <v>311.66666666666703</v>
      </c>
      <c r="M149" s="3">
        <v>1.00477782106753E-2</v>
      </c>
      <c r="N149" s="3">
        <v>490</v>
      </c>
      <c r="P149" t="s">
        <v>314</v>
      </c>
    </row>
    <row r="150" spans="1:16">
      <c r="A150" s="3">
        <v>149</v>
      </c>
      <c r="B150" s="3" t="s">
        <v>315</v>
      </c>
      <c r="C150" s="3" t="s">
        <v>294</v>
      </c>
      <c r="D150" s="3" t="s">
        <v>5</v>
      </c>
      <c r="E150" s="3" t="s">
        <v>16</v>
      </c>
      <c r="F150" s="3">
        <v>2019</v>
      </c>
      <c r="G150" s="3" t="s">
        <v>7</v>
      </c>
      <c r="H150" s="3" t="s">
        <v>8</v>
      </c>
      <c r="I150" s="3" t="s">
        <v>316</v>
      </c>
      <c r="J150" s="3" t="s">
        <v>420</v>
      </c>
      <c r="K150" s="3">
        <v>63824</v>
      </c>
      <c r="L150" s="3">
        <v>223.888888888889</v>
      </c>
      <c r="M150" s="3">
        <v>0.144663449486087</v>
      </c>
      <c r="N150" s="3">
        <v>9233</v>
      </c>
      <c r="P150" t="s">
        <v>81</v>
      </c>
    </row>
    <row r="151" spans="1:16">
      <c r="A151" s="3">
        <v>150</v>
      </c>
      <c r="B151" s="3" t="s">
        <v>317</v>
      </c>
      <c r="C151" s="3" t="s">
        <v>294</v>
      </c>
      <c r="D151" s="3" t="s">
        <v>14</v>
      </c>
      <c r="E151" s="3" t="s">
        <v>23</v>
      </c>
      <c r="F151" s="3">
        <v>2019</v>
      </c>
      <c r="G151" s="3" t="s">
        <v>7</v>
      </c>
      <c r="H151" s="3" t="s">
        <v>8</v>
      </c>
      <c r="I151" s="3" t="s">
        <v>318</v>
      </c>
      <c r="J151" s="3" t="s">
        <v>420</v>
      </c>
      <c r="K151" s="3">
        <v>117000</v>
      </c>
      <c r="L151" s="3">
        <v>311.66666666666703</v>
      </c>
      <c r="M151" s="3">
        <v>0</v>
      </c>
      <c r="N151" s="3">
        <v>0</v>
      </c>
      <c r="P151" t="s">
        <v>84</v>
      </c>
    </row>
    <row r="152" spans="1:16">
      <c r="A152" s="3">
        <v>151</v>
      </c>
      <c r="B152" s="3" t="s">
        <v>319</v>
      </c>
      <c r="C152" s="3" t="s">
        <v>294</v>
      </c>
      <c r="D152" s="3" t="s">
        <v>5</v>
      </c>
      <c r="E152" s="3"/>
      <c r="F152" s="3">
        <v>2021</v>
      </c>
      <c r="G152" s="3" t="s">
        <v>7</v>
      </c>
      <c r="H152" s="3" t="s">
        <v>8</v>
      </c>
      <c r="I152" s="3" t="s">
        <v>320</v>
      </c>
      <c r="J152" s="3" t="s">
        <v>420</v>
      </c>
      <c r="K152" s="3">
        <v>41000</v>
      </c>
      <c r="L152" s="3">
        <v>204.444444444445</v>
      </c>
      <c r="M152" s="3">
        <v>0.11219512195122</v>
      </c>
      <c r="N152" s="3">
        <v>4600</v>
      </c>
    </row>
    <row r="153" spans="1:16">
      <c r="A153" s="3">
        <v>152</v>
      </c>
      <c r="B153" s="3" t="s">
        <v>321</v>
      </c>
      <c r="C153" s="3" t="s">
        <v>294</v>
      </c>
      <c r="D153" s="3" t="s">
        <v>5</v>
      </c>
      <c r="E153" s="3" t="s">
        <v>23</v>
      </c>
      <c r="F153" s="3">
        <v>2023</v>
      </c>
      <c r="G153" s="3" t="s">
        <v>7</v>
      </c>
      <c r="H153" s="3" t="s">
        <v>8</v>
      </c>
      <c r="I153" s="3" t="s">
        <v>322</v>
      </c>
      <c r="J153" s="3" t="s">
        <v>405</v>
      </c>
      <c r="K153" s="3">
        <v>96446</v>
      </c>
      <c r="L153" s="3">
        <v>284.16666666666703</v>
      </c>
      <c r="M153" s="3">
        <v>0.334902432449246</v>
      </c>
      <c r="N153" s="3">
        <v>32300</v>
      </c>
    </row>
    <row r="154" spans="1:16">
      <c r="A154" s="3">
        <v>153</v>
      </c>
      <c r="B154" s="3" t="s">
        <v>323</v>
      </c>
      <c r="C154" s="3" t="s">
        <v>324</v>
      </c>
      <c r="D154" s="3" t="s">
        <v>5</v>
      </c>
      <c r="E154" s="3" t="s">
        <v>16</v>
      </c>
      <c r="F154" s="3">
        <v>2018</v>
      </c>
      <c r="G154" s="3" t="s">
        <v>7</v>
      </c>
      <c r="H154" s="3" t="s">
        <v>325</v>
      </c>
      <c r="I154" s="3" t="s">
        <v>326</v>
      </c>
      <c r="J154" s="3" t="s">
        <v>420</v>
      </c>
      <c r="K154" s="3">
        <v>76600</v>
      </c>
      <c r="L154" s="3">
        <v>131.111111111111</v>
      </c>
      <c r="M154" s="3">
        <v>0.241919060052219</v>
      </c>
      <c r="N154" s="3">
        <v>18531</v>
      </c>
      <c r="P154" t="s">
        <v>143</v>
      </c>
    </row>
    <row r="155" spans="1:16">
      <c r="A155" s="3">
        <v>154</v>
      </c>
      <c r="B155" s="3" t="s">
        <v>327</v>
      </c>
      <c r="C155" s="3" t="s">
        <v>324</v>
      </c>
      <c r="D155" s="3" t="s">
        <v>5</v>
      </c>
      <c r="E155" s="3" t="s">
        <v>16</v>
      </c>
      <c r="F155" s="3">
        <v>2018</v>
      </c>
      <c r="G155" s="3" t="s">
        <v>7</v>
      </c>
      <c r="H155" s="3" t="s">
        <v>325</v>
      </c>
      <c r="I155" s="3" t="s">
        <v>328</v>
      </c>
      <c r="J155" s="3" t="s">
        <v>408</v>
      </c>
      <c r="K155" s="3">
        <v>125569</v>
      </c>
      <c r="L155" s="3">
        <v>137.5</v>
      </c>
      <c r="M155" s="3">
        <v>0.25245084375920801</v>
      </c>
      <c r="N155" s="3">
        <v>31700</v>
      </c>
      <c r="P155" t="s">
        <v>143</v>
      </c>
    </row>
    <row r="156" spans="1:16">
      <c r="A156" s="3">
        <v>155</v>
      </c>
      <c r="B156" s="3" t="s">
        <v>329</v>
      </c>
      <c r="C156" s="3" t="s">
        <v>324</v>
      </c>
      <c r="D156" s="3" t="s">
        <v>5</v>
      </c>
      <c r="E156" s="3" t="s">
        <v>16</v>
      </c>
      <c r="F156" s="3">
        <v>2019</v>
      </c>
      <c r="G156" s="3" t="s">
        <v>7</v>
      </c>
      <c r="H156" s="3" t="s">
        <v>325</v>
      </c>
      <c r="I156" s="3" t="s">
        <v>331</v>
      </c>
      <c r="J156" s="3" t="s">
        <v>420</v>
      </c>
      <c r="K156" s="3">
        <v>51234</v>
      </c>
      <c r="L156" s="3">
        <v>120.555555555556</v>
      </c>
      <c r="M156" s="3">
        <v>7.9868837100362994E-2</v>
      </c>
      <c r="N156" s="3">
        <v>4092</v>
      </c>
      <c r="P156" t="s">
        <v>330</v>
      </c>
    </row>
    <row r="157" spans="1:16">
      <c r="A157" s="3">
        <v>156</v>
      </c>
      <c r="B157" s="3" t="s">
        <v>332</v>
      </c>
      <c r="C157" s="3" t="s">
        <v>324</v>
      </c>
      <c r="D157" s="3" t="s">
        <v>5</v>
      </c>
      <c r="E157" s="3" t="s">
        <v>16</v>
      </c>
      <c r="F157" s="3">
        <v>2019</v>
      </c>
      <c r="G157" s="3" t="s">
        <v>7</v>
      </c>
      <c r="H157" s="3" t="s">
        <v>325</v>
      </c>
      <c r="I157" s="3" t="s">
        <v>333</v>
      </c>
      <c r="J157" s="3" t="s">
        <v>408</v>
      </c>
      <c r="K157" s="3">
        <v>123780</v>
      </c>
      <c r="L157" s="3">
        <v>123.75</v>
      </c>
      <c r="M157" s="3">
        <v>0.12417999676846</v>
      </c>
      <c r="N157" s="3">
        <v>15371</v>
      </c>
      <c r="P157" t="s">
        <v>84</v>
      </c>
    </row>
    <row r="158" spans="1:16">
      <c r="A158" s="3">
        <v>157</v>
      </c>
      <c r="B158" s="3" t="s">
        <v>334</v>
      </c>
      <c r="C158" s="3" t="s">
        <v>324</v>
      </c>
      <c r="D158" s="3" t="s">
        <v>5</v>
      </c>
      <c r="E158" s="3"/>
      <c r="F158" s="3">
        <v>2019</v>
      </c>
      <c r="G158" s="3" t="s">
        <v>7</v>
      </c>
      <c r="H158" s="3" t="s">
        <v>325</v>
      </c>
      <c r="I158" s="3" t="s">
        <v>336</v>
      </c>
      <c r="J158" s="3" t="s">
        <v>420</v>
      </c>
      <c r="K158" s="3">
        <v>46000</v>
      </c>
      <c r="L158" s="3">
        <v>185</v>
      </c>
      <c r="M158" s="3">
        <v>0</v>
      </c>
      <c r="N158" s="3">
        <v>0</v>
      </c>
      <c r="P158" t="s">
        <v>335</v>
      </c>
    </row>
    <row r="159" spans="1:16">
      <c r="A159" s="3">
        <v>158</v>
      </c>
      <c r="B159" s="3" t="s">
        <v>337</v>
      </c>
      <c r="C159" s="3" t="s">
        <v>324</v>
      </c>
      <c r="D159" s="3" t="s">
        <v>5</v>
      </c>
      <c r="E159" s="3" t="s">
        <v>16</v>
      </c>
      <c r="F159" s="3">
        <v>2018</v>
      </c>
      <c r="G159" s="3" t="s">
        <v>7</v>
      </c>
      <c r="H159" s="3" t="s">
        <v>325</v>
      </c>
      <c r="I159" s="3" t="s">
        <v>338</v>
      </c>
      <c r="J159" s="3" t="s">
        <v>420</v>
      </c>
      <c r="K159" s="3">
        <v>35600</v>
      </c>
      <c r="L159" s="3">
        <v>146.388888888889</v>
      </c>
      <c r="M159" s="3">
        <v>0.12019662921348299</v>
      </c>
      <c r="N159" s="3">
        <v>4279</v>
      </c>
    </row>
    <row r="160" spans="1:16">
      <c r="A160" s="3">
        <v>159</v>
      </c>
      <c r="B160" s="3" t="s">
        <v>339</v>
      </c>
      <c r="C160" s="3" t="s">
        <v>324</v>
      </c>
      <c r="D160" s="3" t="s">
        <v>5</v>
      </c>
      <c r="E160" s="3" t="s">
        <v>23</v>
      </c>
      <c r="F160" s="3">
        <v>2020</v>
      </c>
      <c r="G160" s="3" t="s">
        <v>7</v>
      </c>
      <c r="H160" s="3" t="s">
        <v>325</v>
      </c>
      <c r="I160" s="3" t="s">
        <v>340</v>
      </c>
      <c r="J160" s="3" t="s">
        <v>408</v>
      </c>
      <c r="K160" s="3">
        <v>199950</v>
      </c>
      <c r="L160" s="3">
        <v>145</v>
      </c>
      <c r="M160" s="3">
        <v>0.150037509377344</v>
      </c>
      <c r="N160" s="3">
        <v>30000</v>
      </c>
    </row>
    <row r="161" spans="1:16">
      <c r="A161" s="3">
        <v>160</v>
      </c>
      <c r="B161" s="3" t="s">
        <v>341</v>
      </c>
      <c r="C161" s="3" t="s">
        <v>324</v>
      </c>
      <c r="D161" s="3" t="s">
        <v>5</v>
      </c>
      <c r="E161" s="3" t="s">
        <v>16</v>
      </c>
      <c r="F161" s="3">
        <v>2021</v>
      </c>
      <c r="G161" s="3" t="s">
        <v>7</v>
      </c>
      <c r="H161" s="3" t="s">
        <v>325</v>
      </c>
      <c r="I161" s="3" t="s">
        <v>342</v>
      </c>
      <c r="J161" s="3" t="s">
        <v>408</v>
      </c>
      <c r="K161" s="3">
        <v>108000</v>
      </c>
      <c r="L161" s="3">
        <v>137.777777777778</v>
      </c>
      <c r="M161" s="3">
        <v>0.18</v>
      </c>
      <c r="N161" s="3">
        <v>19440</v>
      </c>
    </row>
    <row r="162" spans="1:16">
      <c r="A162" s="3">
        <v>161</v>
      </c>
      <c r="B162" s="3" t="s">
        <v>343</v>
      </c>
      <c r="C162" s="3" t="s">
        <v>324</v>
      </c>
      <c r="D162" s="3" t="s">
        <v>5</v>
      </c>
      <c r="E162" s="3" t="s">
        <v>16</v>
      </c>
      <c r="F162" s="3">
        <v>2021</v>
      </c>
      <c r="G162" s="3" t="s">
        <v>7</v>
      </c>
      <c r="H162" s="3" t="s">
        <v>325</v>
      </c>
      <c r="I162" s="3" t="s">
        <v>344</v>
      </c>
      <c r="J162" s="3" t="s">
        <v>408</v>
      </c>
      <c r="K162" s="3">
        <v>142808</v>
      </c>
      <c r="L162" s="3">
        <v>127.5</v>
      </c>
      <c r="M162" s="3">
        <v>7.1186488151924299E-2</v>
      </c>
      <c r="N162" s="3">
        <v>10166</v>
      </c>
    </row>
    <row r="163" spans="1:16">
      <c r="A163" s="3">
        <v>162</v>
      </c>
      <c r="B163" s="3" t="s">
        <v>345</v>
      </c>
      <c r="C163" s="3" t="s">
        <v>324</v>
      </c>
      <c r="D163" s="3" t="s">
        <v>5</v>
      </c>
      <c r="E163" s="3" t="s">
        <v>16</v>
      </c>
      <c r="F163" s="3">
        <v>2021</v>
      </c>
      <c r="G163" s="3" t="s">
        <v>7</v>
      </c>
      <c r="H163" s="3" t="s">
        <v>325</v>
      </c>
      <c r="I163" s="3" t="s">
        <v>346</v>
      </c>
      <c r="J163" s="3" t="s">
        <v>408</v>
      </c>
      <c r="K163" s="3">
        <v>80463</v>
      </c>
      <c r="L163" s="3">
        <v>125</v>
      </c>
      <c r="M163" s="3">
        <v>0.112026645787505</v>
      </c>
      <c r="N163" s="3">
        <v>9014</v>
      </c>
    </row>
    <row r="164" spans="1:16">
      <c r="A164" s="3">
        <v>163</v>
      </c>
      <c r="B164" s="3" t="s">
        <v>498</v>
      </c>
      <c r="C164" s="3" t="s">
        <v>324</v>
      </c>
      <c r="D164" s="3" t="s">
        <v>5</v>
      </c>
      <c r="E164" s="3" t="s">
        <v>23</v>
      </c>
      <c r="F164" s="3">
        <v>2023</v>
      </c>
      <c r="G164" s="3" t="s">
        <v>7</v>
      </c>
      <c r="H164" s="3" t="s">
        <v>325</v>
      </c>
      <c r="I164" s="3" t="s">
        <v>347</v>
      </c>
      <c r="J164" s="3" t="s">
        <v>420</v>
      </c>
      <c r="K164" s="3">
        <v>83000</v>
      </c>
      <c r="L164" s="3">
        <v>141.666666666667</v>
      </c>
      <c r="M164" s="3">
        <v>0.60361445783132495</v>
      </c>
      <c r="N164" s="3">
        <v>50100</v>
      </c>
    </row>
    <row r="165" spans="1:16">
      <c r="A165" s="3">
        <v>164</v>
      </c>
      <c r="B165" s="3" t="s">
        <v>348</v>
      </c>
      <c r="C165" s="3" t="s">
        <v>324</v>
      </c>
      <c r="D165" s="3" t="s">
        <v>5</v>
      </c>
      <c r="E165" s="3"/>
      <c r="F165" s="3">
        <v>2024</v>
      </c>
      <c r="G165" s="3" t="s">
        <v>7</v>
      </c>
      <c r="H165" s="3" t="s">
        <v>325</v>
      </c>
      <c r="I165" s="3" t="s">
        <v>349</v>
      </c>
      <c r="J165" s="3" t="s">
        <v>420</v>
      </c>
      <c r="K165" s="3">
        <v>129000</v>
      </c>
      <c r="L165" s="3">
        <v>169.166666666667</v>
      </c>
      <c r="M165" s="3">
        <v>0.39693023255813897</v>
      </c>
      <c r="N165" s="3">
        <v>51204</v>
      </c>
    </row>
    <row r="166" spans="1:16">
      <c r="A166" s="3">
        <v>165</v>
      </c>
      <c r="B166" s="3" t="s">
        <v>350</v>
      </c>
      <c r="C166" s="3" t="s">
        <v>351</v>
      </c>
      <c r="D166" s="3" t="s">
        <v>5</v>
      </c>
      <c r="E166" s="3" t="s">
        <v>16</v>
      </c>
      <c r="F166" s="3">
        <v>2011</v>
      </c>
      <c r="G166" s="3" t="s">
        <v>7</v>
      </c>
      <c r="H166" s="3" t="s">
        <v>107</v>
      </c>
      <c r="I166" s="3" t="s">
        <v>352</v>
      </c>
      <c r="J166" s="3" t="s">
        <v>420</v>
      </c>
      <c r="K166" s="3">
        <v>62209</v>
      </c>
      <c r="L166" s="3">
        <v>128.888888888889</v>
      </c>
      <c r="M166" s="3">
        <v>0.13806683920333099</v>
      </c>
      <c r="N166" s="3">
        <v>8589</v>
      </c>
      <c r="P166" t="s">
        <v>203</v>
      </c>
    </row>
    <row r="167" spans="1:16">
      <c r="A167" s="3">
        <v>166</v>
      </c>
      <c r="B167" s="3" t="s">
        <v>353</v>
      </c>
      <c r="C167" s="3" t="s">
        <v>351</v>
      </c>
      <c r="D167" s="3" t="s">
        <v>5</v>
      </c>
      <c r="E167" s="3"/>
      <c r="F167" s="3">
        <v>2015</v>
      </c>
      <c r="G167" s="3" t="s">
        <v>7</v>
      </c>
      <c r="H167" s="3" t="s">
        <v>8</v>
      </c>
      <c r="I167" s="3" t="s">
        <v>354</v>
      </c>
      <c r="J167" s="3" t="s">
        <v>405</v>
      </c>
      <c r="K167" s="3">
        <v>36117</v>
      </c>
      <c r="L167" s="3">
        <v>142.083333333333</v>
      </c>
      <c r="M167" s="3">
        <v>0.248276434919844</v>
      </c>
      <c r="N167" s="3">
        <v>8967</v>
      </c>
      <c r="P167" t="s">
        <v>275</v>
      </c>
    </row>
    <row r="168" spans="1:16">
      <c r="A168" s="3">
        <v>167</v>
      </c>
      <c r="B168" s="3" t="s">
        <v>355</v>
      </c>
      <c r="C168" s="3" t="s">
        <v>351</v>
      </c>
      <c r="D168" s="3" t="s">
        <v>5</v>
      </c>
      <c r="E168" s="3" t="s">
        <v>23</v>
      </c>
      <c r="F168" s="3">
        <v>2018</v>
      </c>
      <c r="G168" s="3" t="s">
        <v>7</v>
      </c>
      <c r="H168" s="3" t="s">
        <v>82</v>
      </c>
      <c r="I168" s="3" t="s">
        <v>356</v>
      </c>
      <c r="J168" s="3" t="s">
        <v>405</v>
      </c>
      <c r="K168" s="3">
        <v>49900</v>
      </c>
      <c r="L168" s="3">
        <v>242.916666666667</v>
      </c>
      <c r="M168" s="3">
        <v>7.0000000000000007E-2</v>
      </c>
      <c r="N168" s="3">
        <v>3493</v>
      </c>
      <c r="P168" t="s">
        <v>143</v>
      </c>
    </row>
    <row r="169" spans="1:16">
      <c r="A169" s="3">
        <v>168</v>
      </c>
      <c r="B169" s="3" t="s">
        <v>357</v>
      </c>
      <c r="C169" s="3" t="s">
        <v>351</v>
      </c>
      <c r="D169" s="3" t="s">
        <v>5</v>
      </c>
      <c r="E169" s="3" t="s">
        <v>16</v>
      </c>
      <c r="F169" s="3">
        <v>2018</v>
      </c>
      <c r="G169" s="3" t="s">
        <v>7</v>
      </c>
      <c r="H169" s="3" t="s">
        <v>82</v>
      </c>
      <c r="I169" s="3" t="s">
        <v>359</v>
      </c>
      <c r="J169" s="3" t="s">
        <v>405</v>
      </c>
      <c r="K169" s="3">
        <v>39000</v>
      </c>
      <c r="L169" s="3">
        <v>244.444444444445</v>
      </c>
      <c r="M169" s="3">
        <v>0.43589743589743601</v>
      </c>
      <c r="N169" s="3">
        <v>17000</v>
      </c>
      <c r="P169" t="s">
        <v>358</v>
      </c>
    </row>
    <row r="170" spans="1:16">
      <c r="A170" s="3">
        <v>169</v>
      </c>
      <c r="B170" s="3" t="s">
        <v>360</v>
      </c>
      <c r="C170" s="3" t="s">
        <v>351</v>
      </c>
      <c r="D170" s="3" t="s">
        <v>5</v>
      </c>
      <c r="E170" s="3"/>
      <c r="F170" s="3">
        <v>2019</v>
      </c>
      <c r="G170" s="3" t="s">
        <v>7</v>
      </c>
      <c r="H170" s="3" t="s">
        <v>185</v>
      </c>
      <c r="I170" s="3" t="s">
        <v>361</v>
      </c>
      <c r="J170" s="3" t="s">
        <v>405</v>
      </c>
      <c r="K170" s="3">
        <v>49000</v>
      </c>
      <c r="L170" s="3">
        <v>235</v>
      </c>
      <c r="M170" s="3">
        <v>2.7142857142857101E-2</v>
      </c>
      <c r="N170" s="3">
        <v>1330</v>
      </c>
      <c r="P170" t="s">
        <v>330</v>
      </c>
    </row>
    <row r="171" spans="1:16">
      <c r="A171" s="3">
        <v>170</v>
      </c>
      <c r="B171" s="3" t="s">
        <v>362</v>
      </c>
      <c r="C171" s="3" t="s">
        <v>351</v>
      </c>
      <c r="D171" s="3" t="s">
        <v>187</v>
      </c>
      <c r="E171" s="3"/>
      <c r="F171" s="3">
        <v>2018</v>
      </c>
      <c r="G171" s="3" t="s">
        <v>7</v>
      </c>
      <c r="H171" s="3" t="s">
        <v>8</v>
      </c>
      <c r="I171" s="3" t="s">
        <v>363</v>
      </c>
      <c r="J171" s="3" t="s">
        <v>405</v>
      </c>
      <c r="K171" s="3">
        <v>59400</v>
      </c>
      <c r="L171" s="3">
        <v>160</v>
      </c>
      <c r="M171" s="3">
        <v>0.303686868686869</v>
      </c>
      <c r="N171" s="3">
        <v>18039</v>
      </c>
    </row>
    <row r="172" spans="1:16">
      <c r="A172" s="3">
        <v>171</v>
      </c>
      <c r="B172" s="3" t="s">
        <v>364</v>
      </c>
      <c r="C172" s="3" t="s">
        <v>351</v>
      </c>
      <c r="D172" s="3" t="s">
        <v>5</v>
      </c>
      <c r="E172" s="3" t="s">
        <v>16</v>
      </c>
      <c r="F172" s="3">
        <v>2018</v>
      </c>
      <c r="G172" s="3" t="s">
        <v>7</v>
      </c>
      <c r="H172" s="3" t="s">
        <v>8</v>
      </c>
      <c r="I172" s="3" t="s">
        <v>365</v>
      </c>
      <c r="J172" s="3" t="s">
        <v>405</v>
      </c>
      <c r="K172" s="3">
        <v>65000</v>
      </c>
      <c r="L172" s="3">
        <v>160</v>
      </c>
      <c r="M172" s="3">
        <v>0.161953846153846</v>
      </c>
      <c r="N172" s="3">
        <v>10527</v>
      </c>
    </row>
    <row r="173" spans="1:16">
      <c r="A173" s="3">
        <v>172</v>
      </c>
      <c r="B173" s="3" t="s">
        <v>366</v>
      </c>
      <c r="C173" s="3" t="s">
        <v>351</v>
      </c>
      <c r="D173" s="3" t="s">
        <v>5</v>
      </c>
      <c r="E173" s="3" t="s">
        <v>368</v>
      </c>
      <c r="F173" s="3">
        <v>2020</v>
      </c>
      <c r="G173" s="3" t="s">
        <v>7</v>
      </c>
      <c r="H173" s="3" t="s">
        <v>369</v>
      </c>
      <c r="I173" s="3" t="s">
        <v>370</v>
      </c>
      <c r="J173" s="3" t="s">
        <v>420</v>
      </c>
      <c r="K173" s="3">
        <v>47000</v>
      </c>
      <c r="L173" s="3">
        <v>87.0833333333333</v>
      </c>
      <c r="M173" s="3">
        <v>0.05</v>
      </c>
      <c r="N173" s="3">
        <v>2350</v>
      </c>
      <c r="P173" t="s">
        <v>367</v>
      </c>
    </row>
    <row r="174" spans="1:16">
      <c r="A174" s="3">
        <v>173</v>
      </c>
      <c r="B174" s="3" t="s">
        <v>371</v>
      </c>
      <c r="C174" s="3" t="s">
        <v>351</v>
      </c>
      <c r="D174" s="3" t="s">
        <v>5</v>
      </c>
      <c r="E174" s="3" t="s">
        <v>368</v>
      </c>
      <c r="F174" s="3">
        <v>2016</v>
      </c>
      <c r="G174" s="3" t="s">
        <v>7</v>
      </c>
      <c r="H174" s="3" t="s">
        <v>369</v>
      </c>
      <c r="I174" s="3" t="s">
        <v>372</v>
      </c>
      <c r="J174" s="3" t="s">
        <v>420</v>
      </c>
      <c r="K174" s="3">
        <v>29000</v>
      </c>
      <c r="L174" s="3">
        <v>87.0833333333333</v>
      </c>
      <c r="M174" s="3">
        <v>0.12</v>
      </c>
      <c r="N174" s="3">
        <v>3480</v>
      </c>
    </row>
    <row r="175" spans="1:16">
      <c r="A175" s="3">
        <v>174</v>
      </c>
      <c r="B175" s="12" t="s">
        <v>373</v>
      </c>
      <c r="C175" s="3" t="s">
        <v>351</v>
      </c>
      <c r="D175" s="3" t="s">
        <v>5</v>
      </c>
      <c r="E175" s="3" t="s">
        <v>23</v>
      </c>
      <c r="F175" s="3">
        <v>2021</v>
      </c>
      <c r="G175" s="3" t="s">
        <v>7</v>
      </c>
      <c r="H175" s="8" t="s">
        <v>369</v>
      </c>
      <c r="I175" s="12" t="s">
        <v>462</v>
      </c>
      <c r="J175" s="3" t="s">
        <v>420</v>
      </c>
      <c r="K175" s="3">
        <v>132239</v>
      </c>
      <c r="L175" s="3">
        <v>87.0833333333333</v>
      </c>
      <c r="M175" s="3">
        <v>0.21929990396176599</v>
      </c>
      <c r="N175" s="3">
        <v>29000</v>
      </c>
      <c r="P175" t="s">
        <v>98</v>
      </c>
    </row>
    <row r="176" spans="1:16">
      <c r="A176" s="3">
        <v>175</v>
      </c>
      <c r="B176" s="3" t="s">
        <v>374</v>
      </c>
      <c r="C176" s="3" t="s">
        <v>351</v>
      </c>
      <c r="D176" s="3" t="s">
        <v>5</v>
      </c>
      <c r="E176" s="3" t="s">
        <v>16</v>
      </c>
      <c r="F176" s="3">
        <v>2019</v>
      </c>
      <c r="G176" s="3" t="s">
        <v>7</v>
      </c>
      <c r="H176" s="3" t="s">
        <v>369</v>
      </c>
      <c r="I176" s="3" t="s">
        <v>375</v>
      </c>
      <c r="J176" s="3" t="s">
        <v>420</v>
      </c>
      <c r="K176" s="3">
        <v>35016</v>
      </c>
      <c r="L176" s="3">
        <v>75.5555555555556</v>
      </c>
      <c r="M176" s="3">
        <v>1</v>
      </c>
      <c r="N176" s="3">
        <v>35016</v>
      </c>
    </row>
    <row r="177" spans="1:16">
      <c r="A177" s="3">
        <v>176</v>
      </c>
      <c r="B177" s="3" t="s">
        <v>376</v>
      </c>
      <c r="C177" s="3" t="s">
        <v>351</v>
      </c>
      <c r="D177" s="3" t="s">
        <v>5</v>
      </c>
      <c r="E177" s="3"/>
      <c r="F177" s="3">
        <v>2023</v>
      </c>
      <c r="G177" s="3" t="s">
        <v>7</v>
      </c>
      <c r="H177" s="3" t="s">
        <v>82</v>
      </c>
      <c r="I177" s="3" t="s">
        <v>377</v>
      </c>
      <c r="J177" s="3" t="s">
        <v>420</v>
      </c>
      <c r="K177" s="3">
        <v>60000</v>
      </c>
      <c r="L177" s="3">
        <v>220</v>
      </c>
      <c r="M177" s="3">
        <v>0.14026666666666701</v>
      </c>
      <c r="N177" s="3">
        <v>8416</v>
      </c>
    </row>
    <row r="178" spans="1:16">
      <c r="A178" s="3">
        <v>177</v>
      </c>
      <c r="B178" s="3" t="s">
        <v>378</v>
      </c>
      <c r="C178" s="3" t="s">
        <v>351</v>
      </c>
      <c r="D178" s="3" t="s">
        <v>5</v>
      </c>
      <c r="E178" s="3" t="s">
        <v>16</v>
      </c>
      <c r="F178" s="3">
        <v>2023</v>
      </c>
      <c r="G178" s="3" t="s">
        <v>7</v>
      </c>
      <c r="H178" s="3" t="s">
        <v>325</v>
      </c>
      <c r="I178" s="3" t="s">
        <v>380</v>
      </c>
      <c r="J178" s="3" t="s">
        <v>405</v>
      </c>
      <c r="K178" s="3">
        <v>90244</v>
      </c>
      <c r="L178" s="3">
        <v>108.75</v>
      </c>
      <c r="M178" s="3">
        <v>0.155134967421657</v>
      </c>
      <c r="N178" s="3">
        <v>14000</v>
      </c>
      <c r="P178" t="s">
        <v>379</v>
      </c>
    </row>
    <row r="179" spans="1:16">
      <c r="A179" s="3">
        <v>178</v>
      </c>
      <c r="B179" s="3" t="s">
        <v>381</v>
      </c>
      <c r="C179" s="3" t="s">
        <v>351</v>
      </c>
      <c r="D179" s="3" t="s">
        <v>5</v>
      </c>
      <c r="E179" s="3"/>
      <c r="F179" s="3">
        <v>2022</v>
      </c>
      <c r="G179" s="3" t="s">
        <v>7</v>
      </c>
      <c r="H179" s="3" t="s">
        <v>325</v>
      </c>
      <c r="I179" s="3" t="s">
        <v>382</v>
      </c>
      <c r="J179" s="3" t="s">
        <v>420</v>
      </c>
      <c r="K179" s="3">
        <v>38700</v>
      </c>
      <c r="L179" s="3">
        <v>97.7777777777778</v>
      </c>
      <c r="M179" s="3">
        <v>0.59204134366925099</v>
      </c>
      <c r="N179" s="3">
        <v>22912</v>
      </c>
    </row>
    <row r="180" spans="1:16">
      <c r="A180" s="3">
        <v>179</v>
      </c>
      <c r="B180" s="3" t="s">
        <v>383</v>
      </c>
      <c r="C180" s="3" t="s">
        <v>351</v>
      </c>
      <c r="D180" s="3" t="s">
        <v>5</v>
      </c>
      <c r="E180" s="3"/>
      <c r="F180" s="3">
        <v>2023</v>
      </c>
      <c r="G180" s="3" t="s">
        <v>7</v>
      </c>
      <c r="H180" s="3" t="s">
        <v>325</v>
      </c>
      <c r="I180" s="4" t="s">
        <v>439</v>
      </c>
      <c r="J180" s="3" t="s">
        <v>421</v>
      </c>
      <c r="K180" s="3">
        <v>62414</v>
      </c>
      <c r="L180" s="3">
        <v>215.416666666667</v>
      </c>
      <c r="M180" s="3">
        <v>0.253148332104976</v>
      </c>
      <c r="N180" s="3">
        <v>15800</v>
      </c>
    </row>
    <row r="181" spans="1:16">
      <c r="A181" s="3">
        <v>180</v>
      </c>
      <c r="B181" s="3" t="s">
        <v>384</v>
      </c>
      <c r="C181" s="3" t="s">
        <v>351</v>
      </c>
      <c r="D181" s="3" t="s">
        <v>5</v>
      </c>
      <c r="E181" s="3" t="s">
        <v>16</v>
      </c>
      <c r="F181" s="3">
        <v>2023</v>
      </c>
      <c r="G181" s="3" t="s">
        <v>7</v>
      </c>
      <c r="H181" s="3" t="s">
        <v>369</v>
      </c>
      <c r="I181" s="3" t="s">
        <v>385</v>
      </c>
      <c r="J181" s="3" t="s">
        <v>420</v>
      </c>
      <c r="K181" s="3">
        <v>51000</v>
      </c>
      <c r="L181" s="3">
        <v>75.5555555555556</v>
      </c>
      <c r="M181" s="3">
        <v>0.55000000000000004</v>
      </c>
      <c r="N181" s="3">
        <v>28050</v>
      </c>
    </row>
    <row r="182" spans="1:16">
      <c r="A182" s="3">
        <v>181</v>
      </c>
      <c r="B182" s="3" t="s">
        <v>386</v>
      </c>
      <c r="C182" s="3" t="s">
        <v>351</v>
      </c>
      <c r="D182" s="3" t="s">
        <v>5</v>
      </c>
      <c r="E182" s="3" t="s">
        <v>16</v>
      </c>
      <c r="F182" s="3">
        <v>2024</v>
      </c>
      <c r="G182" s="3" t="s">
        <v>7</v>
      </c>
      <c r="H182" s="3" t="s">
        <v>82</v>
      </c>
      <c r="I182" s="3" t="s">
        <v>387</v>
      </c>
      <c r="J182" s="3" t="s">
        <v>420</v>
      </c>
      <c r="K182" s="3">
        <v>53115</v>
      </c>
      <c r="L182" s="3">
        <v>301.38888888888903</v>
      </c>
      <c r="M182" s="3">
        <v>0.135554927986445</v>
      </c>
      <c r="N182" s="3">
        <v>7200</v>
      </c>
    </row>
    <row r="183" spans="1:16">
      <c r="A183" s="3">
        <v>182</v>
      </c>
      <c r="B183" s="3" t="s">
        <v>388</v>
      </c>
      <c r="C183" s="3" t="s">
        <v>351</v>
      </c>
      <c r="D183" s="3" t="s">
        <v>5</v>
      </c>
      <c r="E183" s="3"/>
      <c r="F183" s="3">
        <v>2016</v>
      </c>
      <c r="G183" s="3" t="s">
        <v>7</v>
      </c>
      <c r="H183" s="3" t="s">
        <v>325</v>
      </c>
      <c r="I183" s="3" t="s">
        <v>389</v>
      </c>
      <c r="J183" s="3" t="s">
        <v>420</v>
      </c>
      <c r="K183" s="3">
        <v>120000</v>
      </c>
      <c r="L183" s="3">
        <v>128.333333333333</v>
      </c>
      <c r="M183" s="3">
        <v>0.18333333333333299</v>
      </c>
      <c r="N183" s="3">
        <v>22000</v>
      </c>
    </row>
    <row r="184" spans="1:16">
      <c r="A184" s="3">
        <v>183</v>
      </c>
      <c r="B184" s="10" t="s">
        <v>390</v>
      </c>
      <c r="C184" s="3" t="s">
        <v>351</v>
      </c>
      <c r="D184" s="3" t="s">
        <v>5</v>
      </c>
      <c r="E184" s="3" t="s">
        <v>16</v>
      </c>
      <c r="F184" s="3">
        <v>2025</v>
      </c>
      <c r="G184" s="3" t="s">
        <v>7</v>
      </c>
      <c r="H184" s="3" t="s">
        <v>82</v>
      </c>
      <c r="I184" s="10" t="s">
        <v>438</v>
      </c>
      <c r="J184" s="3" t="s">
        <v>420</v>
      </c>
      <c r="K184" s="3">
        <v>66477</v>
      </c>
      <c r="L184" s="3">
        <v>265.83333333333297</v>
      </c>
      <c r="M184" s="3">
        <v>0.90974321945936198</v>
      </c>
      <c r="N184" s="3">
        <v>60477</v>
      </c>
    </row>
    <row r="185" spans="1:16">
      <c r="A185" s="3">
        <v>184</v>
      </c>
      <c r="B185" s="3" t="s">
        <v>391</v>
      </c>
      <c r="C185" s="3" t="s">
        <v>392</v>
      </c>
      <c r="D185" s="3" t="s">
        <v>5</v>
      </c>
      <c r="E185" s="3" t="s">
        <v>16</v>
      </c>
      <c r="F185" s="3">
        <v>2023</v>
      </c>
      <c r="G185" s="3" t="s">
        <v>7</v>
      </c>
      <c r="H185" s="3" t="s">
        <v>393</v>
      </c>
      <c r="I185" s="3" t="s">
        <v>394</v>
      </c>
      <c r="J185" s="3"/>
      <c r="K185" s="3">
        <v>59300</v>
      </c>
      <c r="L185" s="3">
        <v>86.1111111111111</v>
      </c>
      <c r="M185" s="3">
        <v>0.79089376053962901</v>
      </c>
      <c r="N185" s="3">
        <v>46900</v>
      </c>
    </row>
    <row r="186" spans="1:16">
      <c r="A186" s="3">
        <v>185</v>
      </c>
      <c r="B186" s="3" t="s">
        <v>395</v>
      </c>
      <c r="C186" s="3" t="s">
        <v>392</v>
      </c>
      <c r="D186" s="3" t="s">
        <v>5</v>
      </c>
      <c r="E186" s="3"/>
      <c r="F186" s="3">
        <v>2018</v>
      </c>
      <c r="G186" s="3" t="s">
        <v>7</v>
      </c>
      <c r="H186" s="3" t="s">
        <v>393</v>
      </c>
      <c r="I186" s="3" t="s">
        <v>396</v>
      </c>
      <c r="J186" s="3"/>
      <c r="K186" s="3">
        <v>44000</v>
      </c>
      <c r="L186" s="3">
        <v>80</v>
      </c>
      <c r="M186" s="3">
        <v>0.45</v>
      </c>
      <c r="N186" s="3">
        <v>19800</v>
      </c>
    </row>
    <row r="187" spans="1:16">
      <c r="A187" s="3">
        <v>186</v>
      </c>
      <c r="B187" s="3" t="s">
        <v>397</v>
      </c>
      <c r="C187" s="3" t="s">
        <v>392</v>
      </c>
      <c r="D187" s="3" t="s">
        <v>5</v>
      </c>
      <c r="E187" s="3"/>
      <c r="F187" s="3">
        <v>2018</v>
      </c>
      <c r="G187" s="3" t="s">
        <v>7</v>
      </c>
      <c r="H187" s="3" t="s">
        <v>393</v>
      </c>
      <c r="I187" s="3" t="s">
        <v>398</v>
      </c>
      <c r="J187" s="3"/>
      <c r="K187" s="3">
        <v>26528</v>
      </c>
      <c r="L187" s="3">
        <v>84.3333333333333</v>
      </c>
      <c r="M187" s="3">
        <v>0.331724969843185</v>
      </c>
      <c r="N187" s="3">
        <v>8800</v>
      </c>
    </row>
    <row r="188" spans="1:16">
      <c r="A188" s="3">
        <v>187</v>
      </c>
      <c r="B188" s="3" t="s">
        <v>399</v>
      </c>
      <c r="C188" s="3" t="s">
        <v>392</v>
      </c>
      <c r="D188" s="3" t="s">
        <v>5</v>
      </c>
      <c r="E188" s="3" t="s">
        <v>16</v>
      </c>
      <c r="F188" s="3">
        <v>2017</v>
      </c>
      <c r="G188" s="3" t="s">
        <v>7</v>
      </c>
      <c r="H188" s="3" t="s">
        <v>393</v>
      </c>
      <c r="I188" s="3" t="s">
        <v>400</v>
      </c>
      <c r="J188" s="3"/>
      <c r="K188" s="3">
        <v>95684</v>
      </c>
      <c r="L188" s="3">
        <v>87.0833333333333</v>
      </c>
      <c r="M188" s="3">
        <v>0.59571088165210495</v>
      </c>
      <c r="N188" s="3">
        <v>57000</v>
      </c>
    </row>
    <row r="189" spans="1:16" ht="15">
      <c r="A189" s="3">
        <v>188</v>
      </c>
      <c r="B189" s="7" t="s">
        <v>430</v>
      </c>
      <c r="C189" s="3" t="s">
        <v>392</v>
      </c>
      <c r="D189" s="3" t="s">
        <v>5</v>
      </c>
      <c r="E189" s="3"/>
      <c r="F189" s="3">
        <v>2021</v>
      </c>
      <c r="G189" s="3" t="s">
        <v>7</v>
      </c>
      <c r="H189" s="3" t="s">
        <v>82</v>
      </c>
      <c r="I189" s="13" t="s">
        <v>431</v>
      </c>
      <c r="J189" s="3"/>
      <c r="K189" s="3">
        <v>26737</v>
      </c>
      <c r="L189" s="3">
        <v>89.8333333333333</v>
      </c>
      <c r="M189" s="3">
        <v>0.40019448704043098</v>
      </c>
      <c r="N189" s="3">
        <v>10700</v>
      </c>
    </row>
    <row r="190" spans="1:16">
      <c r="A190" s="3">
        <v>189</v>
      </c>
      <c r="B190" s="3" t="s">
        <v>499</v>
      </c>
      <c r="C190" s="3" t="s">
        <v>392</v>
      </c>
      <c r="D190" s="3" t="s">
        <v>5</v>
      </c>
      <c r="E190" s="3" t="s">
        <v>16</v>
      </c>
      <c r="F190" s="3">
        <v>2023</v>
      </c>
      <c r="G190" s="3" t="s">
        <v>7</v>
      </c>
      <c r="H190" s="3" t="s">
        <v>393</v>
      </c>
      <c r="I190" s="3" t="s">
        <v>401</v>
      </c>
      <c r="J190" s="3"/>
      <c r="K190" s="3">
        <v>60000</v>
      </c>
      <c r="L190" s="3">
        <v>82.5</v>
      </c>
      <c r="M190" s="3">
        <v>0.5</v>
      </c>
      <c r="N190" s="3">
        <v>30000</v>
      </c>
    </row>
    <row r="191" spans="1:16">
      <c r="A191" s="3">
        <v>190</v>
      </c>
      <c r="B191" s="3" t="s">
        <v>402</v>
      </c>
      <c r="C191" s="3" t="s">
        <v>392</v>
      </c>
      <c r="D191" s="3" t="s">
        <v>5</v>
      </c>
      <c r="E191" s="3"/>
      <c r="F191" s="3">
        <v>2019</v>
      </c>
      <c r="G191" s="3" t="s">
        <v>7</v>
      </c>
      <c r="H191" s="3" t="s">
        <v>393</v>
      </c>
      <c r="I191" s="3" t="s">
        <v>403</v>
      </c>
      <c r="J191" s="3"/>
      <c r="K191" s="3">
        <v>34895</v>
      </c>
      <c r="L191" s="3">
        <v>77.5</v>
      </c>
      <c r="M191" s="3">
        <v>0.45278693222524702</v>
      </c>
      <c r="N191" s="3">
        <v>15800</v>
      </c>
    </row>
    <row r="192" spans="1:16">
      <c r="A192" s="3">
        <v>191</v>
      </c>
      <c r="B192" s="3" t="s">
        <v>465</v>
      </c>
      <c r="C192" s="3" t="s">
        <v>392</v>
      </c>
      <c r="D192" s="3" t="s">
        <v>5</v>
      </c>
      <c r="E192" s="3" t="s">
        <v>16</v>
      </c>
      <c r="F192" s="3">
        <v>2022</v>
      </c>
      <c r="G192" s="3" t="s">
        <v>7</v>
      </c>
      <c r="H192" s="3" t="s">
        <v>393</v>
      </c>
      <c r="I192" s="3" t="s">
        <v>466</v>
      </c>
      <c r="J192" s="3"/>
      <c r="K192" s="3"/>
      <c r="L192" s="3"/>
      <c r="M192" s="3"/>
      <c r="N192" s="3"/>
    </row>
  </sheetData>
  <phoneticPr fontId="6" type="noConversion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40a7e4-94f1-4b05-8c7e-c5111c724f9a">
      <Terms xmlns="http://schemas.microsoft.com/office/infopath/2007/PartnerControls"/>
    </lcf76f155ced4ddcb4097134ff3c332f>
    <TaxCatchAll xmlns="f655991e-a262-4cc2-969f-4b8d0db6a5d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605E6093A30A479FED397EFA867E40" ma:contentTypeVersion="19" ma:contentTypeDescription="Create a new document." ma:contentTypeScope="" ma:versionID="55774fc2038cb4dae8fef12431c133f2">
  <xsd:schema xmlns:xsd="http://www.w3.org/2001/XMLSchema" xmlns:xs="http://www.w3.org/2001/XMLSchema" xmlns:p="http://schemas.microsoft.com/office/2006/metadata/properties" xmlns:ns2="f655991e-a262-4cc2-969f-4b8d0db6a5de" xmlns:ns3="8e40a7e4-94f1-4b05-8c7e-c5111c724f9a" targetNamespace="http://schemas.microsoft.com/office/2006/metadata/properties" ma:root="true" ma:fieldsID="31482a63ce11ed8a627351d2502cc05d" ns2:_="" ns3:_="">
    <xsd:import namespace="f655991e-a262-4cc2-969f-4b8d0db6a5de"/>
    <xsd:import namespace="8e40a7e4-94f1-4b05-8c7e-c5111c724f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lcf76f155ced4ddcb4097134ff3c332f" minOccurs="0"/>
                <xsd:element ref="ns2:TaxCatchAll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55991e-a262-4cc2-969f-4b8d0db6a5d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f2ff732-98c2-48c5-8f70-155633f64b93}" ma:internalName="TaxCatchAll" ma:showField="CatchAllData" ma:web="f655991e-a262-4cc2-969f-4b8d0db6a5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40a7e4-94f1-4b05-8c7e-c5111c724f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ce671e0-2aae-4c8d-b367-8bb3494c1b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A7DD6C-B285-4C23-BA8C-7CCC252AB8A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6E6A69-6D48-49BB-9E8E-5B96C2738B7E}">
  <ds:schemaRefs>
    <ds:schemaRef ds:uri="http://schemas.microsoft.com/office/2006/metadata/properties"/>
    <ds:schemaRef ds:uri="http://schemas.microsoft.com/office/infopath/2007/PartnerControls"/>
    <ds:schemaRef ds:uri="8e40a7e4-94f1-4b05-8c7e-c5111c724f9a"/>
    <ds:schemaRef ds:uri="f655991e-a262-4cc2-969f-4b8d0db6a5de"/>
  </ds:schemaRefs>
</ds:datastoreItem>
</file>

<file path=customXml/itemProps3.xml><?xml version="1.0" encoding="utf-8"?>
<ds:datastoreItem xmlns:ds="http://schemas.openxmlformats.org/officeDocument/2006/customXml" ds:itemID="{F5BF42E8-7CD6-44A5-B028-608DFC1622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55991e-a262-4cc2-969f-4b8d0db6a5de"/>
    <ds:schemaRef ds:uri="8e40a7e4-94f1-4b05-8c7e-c5111c724f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Bjres, Intern</cp:lastModifiedBy>
  <dcterms:created xsi:type="dcterms:W3CDTF">2026-01-06T16:25:00Z</dcterms:created>
  <dcterms:modified xsi:type="dcterms:W3CDTF">2026-03-04T06:08:05Z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B2C2E2AD39C5219674CF5C69CE208E9D_43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  <property fmtid="{D5CDD505-2E9C-101B-9397-08002B2CF9AE}" pid="5" name="ContentTypeId">
    <vt:lpwstr>0x010100BC605E6093A30A479FED397EFA867E40</vt:lpwstr>
  </property>
  <property fmtid="{D5CDD505-2E9C-101B-9397-08002B2CF9AE}" pid="6" name="MediaServiceImageTags">
    <vt:lpwstr/>
  </property>
</Properties>
</file>