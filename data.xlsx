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530"/>
  <workbookPr/>
  <mc:AlternateContent xmlns:mc="http://schemas.openxmlformats.org/markup-compatibility/2006">
    <mc:Choice Requires="x15">
      <x15ac:absPath xmlns:x15ac="http://schemas.microsoft.com/office/spreadsheetml/2010/11/ac" url="C:\Users\cassie.gao\Downloads\"/>
    </mc:Choice>
  </mc:AlternateContent>
  <xr:revisionPtr revIDLastSave="0" documentId="13_ncr:1_{286BFDBC-9FCB-475D-9B8C-BE682328CB51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2" r:id="rId1"/>
    <sheet name="Sheet2" sheetId="3" r:id="rId2"/>
  </sheets>
  <definedNames>
    <definedName name="_xlnm._FilterDatabase" localSheetId="0" hidden="1">Sheet1!$A$1:$T$192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192" i="2" l="1"/>
  <c r="R192" i="2"/>
  <c r="S5" i="2"/>
  <c r="S6" i="2"/>
  <c r="S7" i="2"/>
  <c r="S8" i="2"/>
  <c r="S9" i="2"/>
  <c r="S10" i="2"/>
  <c r="S11" i="2"/>
  <c r="S12" i="2"/>
  <c r="S13" i="2"/>
  <c r="S14" i="2"/>
  <c r="S15" i="2"/>
  <c r="S16" i="2"/>
  <c r="S17" i="2"/>
  <c r="S18" i="2"/>
  <c r="S19" i="2"/>
  <c r="S20" i="2"/>
  <c r="S21" i="2"/>
  <c r="S22" i="2"/>
  <c r="S23" i="2"/>
  <c r="S24" i="2"/>
  <c r="S25" i="2"/>
  <c r="S26" i="2"/>
  <c r="S27" i="2"/>
  <c r="S28" i="2"/>
  <c r="S29" i="2"/>
  <c r="S30" i="2"/>
  <c r="S31" i="2"/>
  <c r="S32" i="2"/>
  <c r="S33" i="2"/>
  <c r="S34" i="2"/>
  <c r="S35" i="2"/>
  <c r="S36" i="2"/>
  <c r="S37" i="2"/>
  <c r="S38" i="2"/>
  <c r="S39" i="2"/>
  <c r="S40" i="2"/>
  <c r="S41" i="2"/>
  <c r="S42" i="2"/>
  <c r="S43" i="2"/>
  <c r="S44" i="2"/>
  <c r="S45" i="2"/>
  <c r="S46" i="2"/>
  <c r="S47" i="2"/>
  <c r="S48" i="2"/>
  <c r="S49" i="2"/>
  <c r="S50" i="2"/>
  <c r="S51" i="2"/>
  <c r="S52" i="2"/>
  <c r="S53" i="2"/>
  <c r="S54" i="2"/>
  <c r="S55" i="2"/>
  <c r="S56" i="2"/>
  <c r="S57" i="2"/>
  <c r="S58" i="2"/>
  <c r="S59" i="2"/>
  <c r="S60" i="2"/>
  <c r="S61" i="2"/>
  <c r="S62" i="2"/>
  <c r="S63" i="2"/>
  <c r="S64" i="2"/>
  <c r="S65" i="2"/>
  <c r="S66" i="2"/>
  <c r="S67" i="2"/>
  <c r="S68" i="2"/>
  <c r="S69" i="2"/>
  <c r="S70" i="2"/>
  <c r="S71" i="2"/>
  <c r="S72" i="2"/>
  <c r="S73" i="2"/>
  <c r="S74" i="2"/>
  <c r="S75" i="2"/>
  <c r="S76" i="2"/>
  <c r="S77" i="2"/>
  <c r="S78" i="2"/>
  <c r="S79" i="2"/>
  <c r="S80" i="2"/>
  <c r="S81" i="2"/>
  <c r="S82" i="2"/>
  <c r="S83" i="2"/>
  <c r="S84" i="2"/>
  <c r="S85" i="2"/>
  <c r="S86" i="2"/>
  <c r="S87" i="2"/>
  <c r="S88" i="2"/>
  <c r="S89" i="2"/>
  <c r="S90" i="2"/>
  <c r="S91" i="2"/>
  <c r="S92" i="2"/>
  <c r="S93" i="2"/>
  <c r="S94" i="2"/>
  <c r="S95" i="2"/>
  <c r="S96" i="2"/>
  <c r="S97" i="2"/>
  <c r="S98" i="2"/>
  <c r="S99" i="2"/>
  <c r="S100" i="2"/>
  <c r="S101" i="2"/>
  <c r="S102" i="2"/>
  <c r="S103" i="2"/>
  <c r="S104" i="2"/>
  <c r="S105" i="2"/>
  <c r="S106" i="2"/>
  <c r="S107" i="2"/>
  <c r="S108" i="2"/>
  <c r="S109" i="2"/>
  <c r="S110" i="2"/>
  <c r="S111" i="2"/>
  <c r="S112" i="2"/>
  <c r="S113" i="2"/>
  <c r="S114" i="2"/>
  <c r="S115" i="2"/>
  <c r="S116" i="2"/>
  <c r="S117" i="2"/>
  <c r="S118" i="2"/>
  <c r="S119" i="2"/>
  <c r="S120" i="2"/>
  <c r="S121" i="2"/>
  <c r="S122" i="2"/>
  <c r="S123" i="2"/>
  <c r="S124" i="2"/>
  <c r="S125" i="2"/>
  <c r="S126" i="2"/>
  <c r="S127" i="2"/>
  <c r="S128" i="2"/>
  <c r="S129" i="2"/>
  <c r="S130" i="2"/>
  <c r="S131" i="2"/>
  <c r="S132" i="2"/>
  <c r="S133" i="2"/>
  <c r="S134" i="2"/>
  <c r="S135" i="2"/>
  <c r="S136" i="2"/>
  <c r="S137" i="2"/>
  <c r="S138" i="2"/>
  <c r="S139" i="2"/>
  <c r="S140" i="2"/>
  <c r="S141" i="2"/>
  <c r="S142" i="2"/>
  <c r="S143" i="2"/>
  <c r="S144" i="2"/>
  <c r="S145" i="2"/>
  <c r="S146" i="2"/>
  <c r="S147" i="2"/>
  <c r="S148" i="2"/>
  <c r="S149" i="2"/>
  <c r="S150" i="2"/>
  <c r="S151" i="2"/>
  <c r="S152" i="2"/>
  <c r="S153" i="2"/>
  <c r="S154" i="2"/>
  <c r="S155" i="2"/>
  <c r="S156" i="2"/>
  <c r="S157" i="2"/>
  <c r="S158" i="2"/>
  <c r="S159" i="2"/>
  <c r="S160" i="2"/>
  <c r="S161" i="2"/>
  <c r="S162" i="2"/>
  <c r="S163" i="2"/>
  <c r="S164" i="2"/>
  <c r="S165" i="2"/>
  <c r="S166" i="2"/>
  <c r="S167" i="2"/>
  <c r="S168" i="2"/>
  <c r="S169" i="2"/>
  <c r="S170" i="2"/>
  <c r="S171" i="2"/>
  <c r="S172" i="2"/>
  <c r="S173" i="2"/>
  <c r="S174" i="2"/>
  <c r="S175" i="2"/>
  <c r="S176" i="2"/>
  <c r="S177" i="2"/>
  <c r="S178" i="2"/>
  <c r="S179" i="2"/>
  <c r="S180" i="2"/>
  <c r="S181" i="2"/>
  <c r="S182" i="2"/>
  <c r="S183" i="2"/>
  <c r="S184" i="2"/>
  <c r="S185" i="2"/>
  <c r="S186" i="2"/>
  <c r="S187" i="2"/>
  <c r="S188" i="2"/>
  <c r="S189" i="2"/>
  <c r="S190" i="2"/>
  <c r="S191" i="2"/>
  <c r="S3" i="2"/>
  <c r="S4" i="2"/>
  <c r="S2" i="2"/>
  <c r="R6" i="2"/>
  <c r="R7" i="2"/>
  <c r="R8" i="2"/>
  <c r="R9" i="2"/>
  <c r="R10" i="2"/>
  <c r="R11" i="2"/>
  <c r="R12" i="2"/>
  <c r="R13" i="2"/>
  <c r="R14" i="2"/>
  <c r="R15" i="2"/>
  <c r="R16" i="2"/>
  <c r="R17" i="2"/>
  <c r="R18" i="2"/>
  <c r="R19" i="2"/>
  <c r="R20" i="2"/>
  <c r="R21" i="2"/>
  <c r="R22" i="2"/>
  <c r="R23" i="2"/>
  <c r="R24" i="2"/>
  <c r="R25" i="2"/>
  <c r="R26" i="2"/>
  <c r="R27" i="2"/>
  <c r="R28" i="2"/>
  <c r="R29" i="2"/>
  <c r="R30" i="2"/>
  <c r="R31" i="2"/>
  <c r="R32" i="2"/>
  <c r="R33" i="2"/>
  <c r="R34" i="2"/>
  <c r="R35" i="2"/>
  <c r="R36" i="2"/>
  <c r="R37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51" i="2"/>
  <c r="R52" i="2"/>
  <c r="R53" i="2"/>
  <c r="R54" i="2"/>
  <c r="R55" i="2"/>
  <c r="R56" i="2"/>
  <c r="R57" i="2"/>
  <c r="R58" i="2"/>
  <c r="R59" i="2"/>
  <c r="R60" i="2"/>
  <c r="R61" i="2"/>
  <c r="R62" i="2"/>
  <c r="R63" i="2"/>
  <c r="R64" i="2"/>
  <c r="R65" i="2"/>
  <c r="R66" i="2"/>
  <c r="R67" i="2"/>
  <c r="R68" i="2"/>
  <c r="R69" i="2"/>
  <c r="R70" i="2"/>
  <c r="R71" i="2"/>
  <c r="R72" i="2"/>
  <c r="R73" i="2"/>
  <c r="R74" i="2"/>
  <c r="R75" i="2"/>
  <c r="R76" i="2"/>
  <c r="R77" i="2"/>
  <c r="R78" i="2"/>
  <c r="R79" i="2"/>
  <c r="R80" i="2"/>
  <c r="R81" i="2"/>
  <c r="R82" i="2"/>
  <c r="R83" i="2"/>
  <c r="R84" i="2"/>
  <c r="R85" i="2"/>
  <c r="R86" i="2"/>
  <c r="R87" i="2"/>
  <c r="R88" i="2"/>
  <c r="R89" i="2"/>
  <c r="R90" i="2"/>
  <c r="R91" i="2"/>
  <c r="R92" i="2"/>
  <c r="R93" i="2"/>
  <c r="R94" i="2"/>
  <c r="R95" i="2"/>
  <c r="R96" i="2"/>
  <c r="R97" i="2"/>
  <c r="R98" i="2"/>
  <c r="R99" i="2"/>
  <c r="R100" i="2"/>
  <c r="R101" i="2"/>
  <c r="R102" i="2"/>
  <c r="R103" i="2"/>
  <c r="R104" i="2"/>
  <c r="R105" i="2"/>
  <c r="R106" i="2"/>
  <c r="R107" i="2"/>
  <c r="R108" i="2"/>
  <c r="R109" i="2"/>
  <c r="R110" i="2"/>
  <c r="R111" i="2"/>
  <c r="R112" i="2"/>
  <c r="R113" i="2"/>
  <c r="R114" i="2"/>
  <c r="R115" i="2"/>
  <c r="R116" i="2"/>
  <c r="R117" i="2"/>
  <c r="R118" i="2"/>
  <c r="R119" i="2"/>
  <c r="R120" i="2"/>
  <c r="R121" i="2"/>
  <c r="R122" i="2"/>
  <c r="R123" i="2"/>
  <c r="R124" i="2"/>
  <c r="R125" i="2"/>
  <c r="R126" i="2"/>
  <c r="R127" i="2"/>
  <c r="R128" i="2"/>
  <c r="R129" i="2"/>
  <c r="R130" i="2"/>
  <c r="R131" i="2"/>
  <c r="R132" i="2"/>
  <c r="R133" i="2"/>
  <c r="R134" i="2"/>
  <c r="R135" i="2"/>
  <c r="R136" i="2"/>
  <c r="R137" i="2"/>
  <c r="R138" i="2"/>
  <c r="R139" i="2"/>
  <c r="R140" i="2"/>
  <c r="R141" i="2"/>
  <c r="R142" i="2"/>
  <c r="R143" i="2"/>
  <c r="R144" i="2"/>
  <c r="R145" i="2"/>
  <c r="R146" i="2"/>
  <c r="R147" i="2"/>
  <c r="R148" i="2"/>
  <c r="R149" i="2"/>
  <c r="R150" i="2"/>
  <c r="R151" i="2"/>
  <c r="R152" i="2"/>
  <c r="R153" i="2"/>
  <c r="R154" i="2"/>
  <c r="R155" i="2"/>
  <c r="R156" i="2"/>
  <c r="R157" i="2"/>
  <c r="R158" i="2"/>
  <c r="R159" i="2"/>
  <c r="R160" i="2"/>
  <c r="R161" i="2"/>
  <c r="R162" i="2"/>
  <c r="R163" i="2"/>
  <c r="R164" i="2"/>
  <c r="R165" i="2"/>
  <c r="R166" i="2"/>
  <c r="R167" i="2"/>
  <c r="R168" i="2"/>
  <c r="R169" i="2"/>
  <c r="R170" i="2"/>
  <c r="R171" i="2"/>
  <c r="R172" i="2"/>
  <c r="R173" i="2"/>
  <c r="R174" i="2"/>
  <c r="R175" i="2"/>
  <c r="R176" i="2"/>
  <c r="R177" i="2"/>
  <c r="R178" i="2"/>
  <c r="R179" i="2"/>
  <c r="R180" i="2"/>
  <c r="R181" i="2"/>
  <c r="R182" i="2"/>
  <c r="R183" i="2"/>
  <c r="R184" i="2"/>
  <c r="R185" i="2"/>
  <c r="R186" i="2"/>
  <c r="R187" i="2"/>
  <c r="R188" i="2"/>
  <c r="R189" i="2"/>
  <c r="R190" i="2"/>
  <c r="R191" i="2"/>
  <c r="R4" i="2"/>
  <c r="R5" i="2"/>
  <c r="R3" i="2"/>
  <c r="R2" i="2"/>
</calcChain>
</file>

<file path=xl/sharedStrings.xml><?xml version="1.0" encoding="utf-8"?>
<sst xmlns="http://schemas.openxmlformats.org/spreadsheetml/2006/main" count="1482" uniqueCount="440">
  <si>
    <t>所在市</t>
  </si>
  <si>
    <t>所在区</t>
  </si>
  <si>
    <t>经纬度</t>
  </si>
  <si>
    <t>国贸写字楼1座</t>
  </si>
  <si>
    <t>CBD</t>
  </si>
  <si>
    <t>A</t>
  </si>
  <si>
    <t>北京市</t>
  </si>
  <si>
    <t>朝阳区</t>
  </si>
  <si>
    <t>116.458363,39.909473</t>
  </si>
  <si>
    <t>国贸写字楼2座</t>
  </si>
  <si>
    <t>116.460469,39.910838</t>
  </si>
  <si>
    <t>国贸大厦A座(三期)</t>
  </si>
  <si>
    <t>P</t>
  </si>
  <si>
    <t>Gold</t>
  </si>
  <si>
    <t>116.458154,39.912298</t>
  </si>
  <si>
    <t>国贸大厦B座(三期)</t>
  </si>
  <si>
    <t>116.460515,39.912938</t>
  </si>
  <si>
    <t>嘉里中心</t>
  </si>
  <si>
    <t>Platinum</t>
  </si>
  <si>
    <t>116.459630,39.914045</t>
  </si>
  <si>
    <t>新华保险大厦（NCI）</t>
  </si>
  <si>
    <t>116.446972,39.907680</t>
  </si>
  <si>
    <t>汇京双子座大厦</t>
  </si>
  <si>
    <t>116.448639,39.907750</t>
  </si>
  <si>
    <t>中环世贸中心D座</t>
  </si>
  <si>
    <t>116.456758,39.907509</t>
  </si>
  <si>
    <t>远洋国际中心A座</t>
  </si>
  <si>
    <t>116.491620,39.914782</t>
  </si>
  <si>
    <t>万通中心D座</t>
  </si>
  <si>
    <t>116.456973,39.919557</t>
  </si>
  <si>
    <t>华贸中心 (一座、二座)</t>
  </si>
  <si>
    <t>116.479186,39.909067</t>
  </si>
  <si>
    <t>华贸中心三座</t>
  </si>
  <si>
    <t>银泰中心</t>
  </si>
  <si>
    <t>116.459151,39.907698</t>
  </si>
  <si>
    <t>金地中心</t>
  </si>
  <si>
    <t>116.474482,39.909105</t>
  </si>
  <si>
    <t>世纪财富中心西塔</t>
  </si>
  <si>
    <t>116.455983,39.914081</t>
  </si>
  <si>
    <t>泰康金融大厦</t>
  </si>
  <si>
    <t>116.463305,39.920458</t>
  </si>
  <si>
    <t>乐成中心</t>
  </si>
  <si>
    <t>116.462324,39.894899</t>
  </si>
  <si>
    <t>环球金融中心</t>
  </si>
  <si>
    <t>116.459044,39.918732</t>
  </si>
  <si>
    <t>中海广场</t>
  </si>
  <si>
    <t>116.456420,39.910934</t>
  </si>
  <si>
    <t>PICC大厦</t>
  </si>
  <si>
    <t>远洋光华国际ABC座-远洋自持</t>
  </si>
  <si>
    <t>116.454438,39.915409</t>
  </si>
  <si>
    <t>远洋光华国际AB座-纺织厂</t>
  </si>
  <si>
    <t>116.454354,39.916048</t>
  </si>
  <si>
    <t>北京侨福芳草地</t>
  </si>
  <si>
    <t>116.449285,39.919803</t>
  </si>
  <si>
    <t xml:space="preserve">财富金融中心（FFC） </t>
  </si>
  <si>
    <t>116.460552,39.917729</t>
  </si>
  <si>
    <t>远洋国际中心二期</t>
  </si>
  <si>
    <t>116.491350,39.914073</t>
  </si>
  <si>
    <t>英皇集团中心</t>
  </si>
  <si>
    <t>116.444738,39.907772</t>
  </si>
  <si>
    <t>西城区</t>
  </si>
  <si>
    <t>北京国际俱乐部二期（C座）</t>
  </si>
  <si>
    <t>正大中心</t>
  </si>
  <si>
    <t>116.467852,39.912578</t>
  </si>
  <si>
    <t>众秀大厦-资管公司部分</t>
  </si>
  <si>
    <t>116.464667,39.912919</t>
  </si>
  <si>
    <t>众秀大厦-清华自己租赁部分</t>
  </si>
  <si>
    <t>中信大厦</t>
  </si>
  <si>
    <t>116.466276,39.912916</t>
  </si>
  <si>
    <t>三星大厦 （中区+低区）</t>
  </si>
  <si>
    <t>三星大厦（高区 CBD管委会）</t>
  </si>
  <si>
    <t>宝钢大厦</t>
  </si>
  <si>
    <t>116.446022,39.907700</t>
  </si>
  <si>
    <t>泰康集团大厦</t>
  </si>
  <si>
    <t>116.467692,39.911215</t>
  </si>
  <si>
    <t>116.491500,39.922075</t>
  </si>
  <si>
    <t>阳光金融中心</t>
  </si>
  <si>
    <t>116.462922,39.912017</t>
  </si>
  <si>
    <t>大家保险大厦B座</t>
  </si>
  <si>
    <t>116.454917,39.907768</t>
  </si>
  <si>
    <t>东城商务区</t>
  </si>
  <si>
    <t>东城区</t>
  </si>
  <si>
    <t>116.429908,39.907040</t>
  </si>
  <si>
    <t>116.434079,39.912909</t>
  </si>
  <si>
    <t>东方广场西区</t>
  </si>
  <si>
    <t>东方广场东区</t>
  </si>
  <si>
    <t>东方广场中区</t>
  </si>
  <si>
    <t>金宝大厦</t>
  </si>
  <si>
    <t>116.419957,39.916098</t>
  </si>
  <si>
    <t>中青旅大厦</t>
  </si>
  <si>
    <t>116.432560,39.937841</t>
  </si>
  <si>
    <t>五矿广场</t>
  </si>
  <si>
    <t>116.432842,39.931558</t>
  </si>
  <si>
    <t>民生金融中心</t>
  </si>
  <si>
    <t>116.419886,39.907198</t>
  </si>
  <si>
    <t>116.432541,39.938437</t>
  </si>
  <si>
    <t>北京来福士中心</t>
  </si>
  <si>
    <t>燕莎</t>
  </si>
  <si>
    <t>116.432683,39.939697</t>
  </si>
  <si>
    <t>凯恒中心</t>
  </si>
  <si>
    <t>116.432884,39.923518</t>
  </si>
  <si>
    <t>天润财富中心</t>
  </si>
  <si>
    <t>116.427741,39.911344</t>
  </si>
  <si>
    <t>哈德门广场东塔</t>
  </si>
  <si>
    <t>116.421270,39.899689</t>
  </si>
  <si>
    <t>哈德门广场西塔</t>
  </si>
  <si>
    <t>116.420148,39.899582</t>
  </si>
  <si>
    <t>116.408915,39.952121</t>
  </si>
  <si>
    <t>泓晟国际中心</t>
  </si>
  <si>
    <t>116.432895,39.930644</t>
  </si>
  <si>
    <t>信达中心</t>
  </si>
  <si>
    <t>116.437934,39.942477</t>
  </si>
  <si>
    <t>远洋大厦</t>
  </si>
  <si>
    <t>金融街</t>
  </si>
  <si>
    <t>英蓝国际金融中心</t>
  </si>
  <si>
    <t>116.357825,39.920574</t>
  </si>
  <si>
    <t>盈泰商务中心</t>
  </si>
  <si>
    <t>116.360331,39.911403</t>
  </si>
  <si>
    <t>长安兴融中心-4号楼</t>
  </si>
  <si>
    <t>116.361343,39.904939</t>
  </si>
  <si>
    <t>凯晨世贸中心</t>
  </si>
  <si>
    <t>116.364708,39.906123</t>
  </si>
  <si>
    <t>卓著中心</t>
  </si>
  <si>
    <t>116.361866,39.918222</t>
  </si>
  <si>
    <t>中海国际中心</t>
  </si>
  <si>
    <t>泰康国际大厦</t>
  </si>
  <si>
    <t>116.362589,39.917659</t>
  </si>
  <si>
    <t>116.365214,39.916988</t>
  </si>
  <si>
    <t>金融街中心</t>
  </si>
  <si>
    <t>116.358533,39.919136</t>
  </si>
  <si>
    <t>太平洋保险大厦</t>
  </si>
  <si>
    <t>116.366067,39.918211</t>
  </si>
  <si>
    <t>丰铭国际大厦</t>
  </si>
  <si>
    <t>116.367302,39.918021</t>
  </si>
  <si>
    <t>锦什坊街叁拾伍号</t>
  </si>
  <si>
    <t>月坛金融中心E座</t>
  </si>
  <si>
    <t>金嘉大厦</t>
  </si>
  <si>
    <t>116.360000,39.921086</t>
  </si>
  <si>
    <t>新时代大厦</t>
  </si>
  <si>
    <t>海淀区</t>
  </si>
  <si>
    <t>航宇大厦B座</t>
  </si>
  <si>
    <t xml:space="preserve">A </t>
  </si>
  <si>
    <t>116.360324,39.915083</t>
  </si>
  <si>
    <t>盈科中心（AB座）</t>
  </si>
  <si>
    <t>现代汽车大厦</t>
  </si>
  <si>
    <t>116.462588,39.956004</t>
  </si>
  <si>
    <t>佳程广场</t>
  </si>
  <si>
    <t>116.458304,39.956475</t>
  </si>
  <si>
    <t>平安国际金融中心</t>
  </si>
  <si>
    <t>116.460091,39.949780</t>
  </si>
  <si>
    <t>凤凰置地广场A座</t>
  </si>
  <si>
    <t>嘉铭中心</t>
  </si>
  <si>
    <t>116.460537,39.927996</t>
  </si>
  <si>
    <t>凤凰置地广场F&amp;H座</t>
  </si>
  <si>
    <t>116.462524,39.927680</t>
  </si>
  <si>
    <t>润世中心</t>
  </si>
  <si>
    <t>亮马桥外交办公大楼</t>
  </si>
  <si>
    <t>116.463427,39.950882</t>
  </si>
  <si>
    <t>冠捷大厦</t>
  </si>
  <si>
    <t>国航世纪大厦</t>
  </si>
  <si>
    <t>116.462344,39.955026</t>
  </si>
  <si>
    <t>启皓北京</t>
  </si>
  <si>
    <t>116.456336,39.947734</t>
  </si>
  <si>
    <t>骏豪中央公园A1</t>
  </si>
  <si>
    <t>116.477131,39.932174</t>
  </si>
  <si>
    <t>116.463186,39.960903</t>
  </si>
  <si>
    <t>哈银国际中心</t>
  </si>
  <si>
    <t>116.463929,39.957632</t>
  </si>
  <si>
    <t>融科资讯中心A座</t>
  </si>
  <si>
    <t>中关村</t>
  </si>
  <si>
    <t>116.325236,39.984261</t>
  </si>
  <si>
    <t>融科资讯中心C座</t>
  </si>
  <si>
    <t>116.326695,39.983200</t>
  </si>
  <si>
    <t>理想国际大厦</t>
  </si>
  <si>
    <t>116.310060,39.984499</t>
  </si>
  <si>
    <t>中国电子大厦</t>
  </si>
  <si>
    <t>116.311772,39.979518</t>
  </si>
  <si>
    <t>中钢国际广场</t>
  </si>
  <si>
    <t>欧美汇大厦</t>
  </si>
  <si>
    <t>116.312645,39.980358</t>
  </si>
  <si>
    <t>互联网金融中心</t>
  </si>
  <si>
    <t>116.313133,39.979318</t>
  </si>
  <si>
    <t>116.351564,39.977324</t>
  </si>
  <si>
    <t>融科资讯中心B座</t>
  </si>
  <si>
    <t>116.326467,39.984666</t>
  </si>
  <si>
    <t>中航广场一期</t>
  </si>
  <si>
    <t>116.328911,39.972012</t>
  </si>
  <si>
    <t>保利蓟门壹号</t>
  </si>
  <si>
    <t>116.352480,39.973826</t>
  </si>
  <si>
    <t>卫通大厦</t>
  </si>
  <si>
    <t>116.328764,39.977064</t>
  </si>
  <si>
    <t>中关村资本大厦</t>
  </si>
  <si>
    <t>116.337732,39.957118</t>
  </si>
  <si>
    <t>鼎好DH3-A座</t>
  </si>
  <si>
    <t>116.314195,39.984395</t>
  </si>
  <si>
    <t>西海国际中心</t>
  </si>
  <si>
    <t>116.308831,39.963826</t>
  </si>
  <si>
    <t>北京理工大学国防科技园（理工大学）</t>
  </si>
  <si>
    <t>116.310850,39.960914</t>
  </si>
  <si>
    <t>清华科技园-火炬大厦</t>
  </si>
  <si>
    <t>116.330709,39.994513</t>
  </si>
  <si>
    <t>搜狐网络大厦</t>
  </si>
  <si>
    <t>116.332112,39.993716</t>
  </si>
  <si>
    <t>中国技术交易大厦</t>
  </si>
  <si>
    <t>116.307531,39.984256</t>
  </si>
  <si>
    <t>鼎好DH3-B/C座</t>
  </si>
  <si>
    <t>116.313918,39.983756</t>
  </si>
  <si>
    <t>望京-酒仙桥</t>
  </si>
  <si>
    <t>116.482346,39.994131</t>
  </si>
  <si>
    <t>颐堤港</t>
  </si>
  <si>
    <t>116.491318,39.969858</t>
  </si>
  <si>
    <t>浦项中心</t>
  </si>
  <si>
    <t>116.488747,39.998971</t>
  </si>
  <si>
    <t>诺金写字楼</t>
  </si>
  <si>
    <t>116.481365,39.977279</t>
  </si>
  <si>
    <t>保利国际广场1座</t>
  </si>
  <si>
    <t>116.491650,39.996348</t>
  </si>
  <si>
    <t>116.475014,39.991254</t>
  </si>
  <si>
    <t>金辉大厦</t>
  </si>
  <si>
    <t>116.488731,40.002813</t>
  </si>
  <si>
    <t>融新科技中心</t>
  </si>
  <si>
    <t>116.468274,40.021752</t>
  </si>
  <si>
    <t>116.491357,40.000633</t>
  </si>
  <si>
    <t>东湖国际中心</t>
  </si>
  <si>
    <t>116.464185,40.008174</t>
  </si>
  <si>
    <t>东方金融中心</t>
  </si>
  <si>
    <t>116.477237,39.975314</t>
  </si>
  <si>
    <t>116.491812,39.999867</t>
  </si>
  <si>
    <t>116.486156,40.000471</t>
  </si>
  <si>
    <t>环球贸易中心A、B座</t>
  </si>
  <si>
    <t>亚奥</t>
  </si>
  <si>
    <t>116.409907,39.968014</t>
  </si>
  <si>
    <t>环球贸易中心C、D座</t>
  </si>
  <si>
    <t>116.410104,39.967172</t>
  </si>
  <si>
    <t>环球贸易中心E座</t>
  </si>
  <si>
    <t>116.410736,39.966329</t>
  </si>
  <si>
    <t>环球贸易中心F座</t>
  </si>
  <si>
    <t>116.410693,39.965497</t>
  </si>
  <si>
    <t>北辰时代大厦</t>
  </si>
  <si>
    <t>116.406400,39.991325</t>
  </si>
  <si>
    <t>北辰世纪中心</t>
  </si>
  <si>
    <t>116.387925,40.000072</t>
  </si>
  <si>
    <t>国家会议中心</t>
  </si>
  <si>
    <t>116.389432,40.002901</t>
  </si>
  <si>
    <t>116.386738,39.989441</t>
  </si>
  <si>
    <t>116.404641,39.977864</t>
  </si>
  <si>
    <t>中建财富国际中心</t>
  </si>
  <si>
    <t>116.406354,39.979452</t>
  </si>
  <si>
    <t>城奥大厦</t>
  </si>
  <si>
    <t>116.404676,39.979906</t>
  </si>
  <si>
    <t>亚洲金融大厦CDE座</t>
  </si>
  <si>
    <t>116.389689,40.008393</t>
  </si>
  <si>
    <t>北投投资大厦</t>
  </si>
  <si>
    <t>116.402757,39.978278</t>
  </si>
  <si>
    <t>北辰中心</t>
  </si>
  <si>
    <t>116.387447,40.004252</t>
  </si>
  <si>
    <t>聚杰金融大厦</t>
  </si>
  <si>
    <t>丽泽</t>
  </si>
  <si>
    <t>丰台区</t>
  </si>
  <si>
    <t>116.333676,39.867037</t>
  </si>
  <si>
    <t>汇亚大厦</t>
  </si>
  <si>
    <t>116.334216,39.866088</t>
  </si>
  <si>
    <t>铭丰中心</t>
  </si>
  <si>
    <t>116.334611,39.867173</t>
  </si>
  <si>
    <t>丽泽SOHO</t>
  </si>
  <si>
    <t>116.330776,39.866976</t>
  </si>
  <si>
    <t>青海金融大厦</t>
  </si>
  <si>
    <t>116.322521,39.864006</t>
  </si>
  <si>
    <t>晋商联合大厦</t>
  </si>
  <si>
    <t>116.326415,39.862975</t>
  </si>
  <si>
    <t>丽泽平安金融中心</t>
  </si>
  <si>
    <t>116.326290,39.866398</t>
  </si>
  <si>
    <t>远洋锐中心</t>
  </si>
  <si>
    <t>116.327628,39.865240</t>
  </si>
  <si>
    <t>平安幸福中心</t>
  </si>
  <si>
    <t>116.322709,39.867060</t>
  </si>
  <si>
    <t>鼎兴大厦</t>
  </si>
  <si>
    <t>116.326989,39.864258</t>
  </si>
  <si>
    <t>116.320124,39.866201</t>
  </si>
  <si>
    <t>国家金融信息大厦</t>
  </si>
  <si>
    <t>116.328244,39.867102</t>
  </si>
  <si>
    <t>中海地产广场</t>
  </si>
  <si>
    <t>其他</t>
  </si>
  <si>
    <t>116.389515,39.870365</t>
  </si>
  <si>
    <t>紫檀大厦</t>
  </si>
  <si>
    <t>116.541798,39.912550</t>
  </si>
  <si>
    <t>中国太平金融中心</t>
  </si>
  <si>
    <t>116.380738,39.888715</t>
  </si>
  <si>
    <t>中融信托大厦</t>
  </si>
  <si>
    <t>116.373533,39.887097</t>
  </si>
  <si>
    <t>华熙Live中心</t>
  </si>
  <si>
    <t>116.282733,39.912370</t>
  </si>
  <si>
    <t>航空科技大厦</t>
  </si>
  <si>
    <t>116.419182,40.027232</t>
  </si>
  <si>
    <t>文化创意大厦</t>
  </si>
  <si>
    <t>116.416551,40.038650</t>
  </si>
  <si>
    <t>中海大厦C、D座</t>
  </si>
  <si>
    <t>Silver</t>
  </si>
  <si>
    <t>石景山区</t>
  </si>
  <si>
    <t>116.178037,39.908404</t>
  </si>
  <si>
    <t>中海大厦B座</t>
  </si>
  <si>
    <t>116.178591,39.908421</t>
  </si>
  <si>
    <t>中海财富中心</t>
  </si>
  <si>
    <t>泰禾长安中心B座</t>
  </si>
  <si>
    <t>116.220038,39.904650</t>
  </si>
  <si>
    <t>新动力金融科技中心</t>
  </si>
  <si>
    <t>116.339650,39.937641</t>
  </si>
  <si>
    <t>京印国际中心</t>
  </si>
  <si>
    <t>116.375727,39.868418</t>
  </si>
  <si>
    <t>丽泽天地</t>
  </si>
  <si>
    <t>116.305524,39.867668</t>
  </si>
  <si>
    <t>有研科技创新中心</t>
  </si>
  <si>
    <t>翔鹰大厦</t>
  </si>
  <si>
    <t>116.191846,39.900493</t>
  </si>
  <si>
    <t>北京金融科技中心</t>
  </si>
  <si>
    <t>116.340574,39.936719</t>
  </si>
  <si>
    <t>金唐中心</t>
  </si>
  <si>
    <t>116.306186,39.866284</t>
  </si>
  <si>
    <t>中海金融中心T1&amp;T4</t>
  </si>
  <si>
    <t>远洋乐堤港二座</t>
  </si>
  <si>
    <t>通州</t>
  </si>
  <si>
    <t>通州区</t>
  </si>
  <si>
    <t>116.656734,39.923819</t>
  </si>
  <si>
    <t>世界侨商中心2号楼（侨商）</t>
  </si>
  <si>
    <t>116.658488,39.921808</t>
  </si>
  <si>
    <t>世界侨商中心3号楼（侨商）</t>
  </si>
  <si>
    <t>116.660010,39.921818</t>
  </si>
  <si>
    <t>保利大都汇（4#2#1#）</t>
  </si>
  <si>
    <t>116.657902,39.915044</t>
  </si>
  <si>
    <t>116.686498,39.904764</t>
  </si>
  <si>
    <t>复地金融中心B座（南塔）</t>
  </si>
  <si>
    <t>116.678255,39.908680</t>
  </si>
  <si>
    <t>Leo Liu</t>
  </si>
  <si>
    <t>序号</t>
  </si>
  <si>
    <t>总面积</t>
  </si>
  <si>
    <t>写字楼名称</t>
  </si>
  <si>
    <t>子市场</t>
  </si>
  <si>
    <t>写字楼等级</t>
  </si>
  <si>
    <t>竣工时间</t>
  </si>
  <si>
    <t>净有效租金</t>
  </si>
  <si>
    <t>空置率</t>
  </si>
  <si>
    <t>空置面积</t>
  </si>
  <si>
    <t>LEEDS</t>
    <phoneticPr fontId="2" type="noConversion"/>
  </si>
  <si>
    <t>中国人寿中心</t>
    <phoneticPr fontId="2" type="noConversion"/>
  </si>
  <si>
    <t>朝阳区</t>
    <phoneticPr fontId="2" type="noConversion"/>
  </si>
  <si>
    <t>116.469030,39.911173</t>
    <phoneticPr fontId="2" type="noConversion"/>
  </si>
  <si>
    <t>116.359101,39.916286</t>
    <phoneticPr fontId="2" type="noConversion"/>
  </si>
  <si>
    <t>中关村东升科技园·学北园</t>
    <phoneticPr fontId="2" type="noConversion"/>
  </si>
  <si>
    <t>116.406387,39.981515</t>
    <phoneticPr fontId="2" type="noConversion"/>
  </si>
  <si>
    <t>116.406387,39.980615</t>
    <phoneticPr fontId="2" type="noConversion"/>
  </si>
  <si>
    <t>合景国际金融广场（4B)</t>
    <phoneticPr fontId="2" type="noConversion"/>
  </si>
  <si>
    <t>116.680295,39.907589</t>
    <phoneticPr fontId="2" type="noConversion"/>
  </si>
  <si>
    <t>116.358503,39.931864</t>
    <phoneticPr fontId="2" type="noConversion"/>
  </si>
  <si>
    <t>116.362230,39.920558</t>
    <phoneticPr fontId="2" type="noConversion"/>
  </si>
  <si>
    <t>116.313304,39.982116</t>
    <phoneticPr fontId="2" type="noConversion"/>
  </si>
  <si>
    <t>116.320807,39.956309</t>
    <phoneticPr fontId="2" type="noConversion"/>
  </si>
  <si>
    <t>116.319635,39.956309</t>
    <phoneticPr fontId="2" type="noConversion"/>
  </si>
  <si>
    <t>116.323984,39.958472</t>
    <phoneticPr fontId="2" type="noConversion"/>
  </si>
  <si>
    <t>116.377078,39.888674</t>
    <phoneticPr fontId="2" type="noConversion"/>
  </si>
  <si>
    <t>116.371113,39.967322</t>
    <phoneticPr fontId="2" type="noConversion"/>
  </si>
  <si>
    <t>116.459281,39.960483</t>
  </si>
  <si>
    <t>116.458823,39.932631</t>
  </si>
  <si>
    <t>116.43926,39.909474</t>
    <phoneticPr fontId="2" type="noConversion"/>
  </si>
  <si>
    <t>116.435881,39.919317</t>
    <phoneticPr fontId="2" type="noConversion"/>
  </si>
  <si>
    <t>116.429644,39.906833</t>
    <phoneticPr fontId="2" type="noConversion"/>
  </si>
  <si>
    <t>116.464627,39.912332</t>
    <phoneticPr fontId="2" type="noConversion"/>
  </si>
  <si>
    <t>116.464467,39.912049</t>
  </si>
  <si>
    <t>116.464674,39.912865</t>
    <phoneticPr fontId="2" type="noConversion"/>
  </si>
  <si>
    <t>116.460321,39.906941</t>
    <phoneticPr fontId="2" type="noConversion"/>
  </si>
  <si>
    <t>116.454891,39.960979</t>
  </si>
  <si>
    <t>116.456886,39.962611</t>
  </si>
  <si>
    <t>116.445694,39.970256</t>
  </si>
  <si>
    <t>116.412649,39.909443</t>
  </si>
  <si>
    <t>116.416316,39.909562</t>
  </si>
  <si>
    <t>116.414436,39.909474</t>
  </si>
  <si>
    <t>116.365174,40.004451</t>
  </si>
  <si>
    <t>116.351227,40.018578</t>
  </si>
  <si>
    <t>116.406051,39.977725</t>
  </si>
  <si>
    <t>116.47137,39.955305</t>
  </si>
  <si>
    <t>116.357285,39.93162</t>
  </si>
  <si>
    <t>116.353911,39.915055</t>
  </si>
  <si>
    <t>116.163151,39.922934</t>
  </si>
  <si>
    <t>116.458326,39.932928</t>
  </si>
  <si>
    <t>116.456769,39.907882</t>
  </si>
  <si>
    <t>新光大中心5A</t>
  </si>
  <si>
    <t>116.658956,39.916829</t>
  </si>
  <si>
    <t>未知</t>
  </si>
  <si>
    <t>116.452709,39.907549</t>
  </si>
  <si>
    <t>国际财源中心（IFC）</t>
  </si>
  <si>
    <t>国寿金融中心</t>
  </si>
  <si>
    <t>时尚万科中心</t>
  </si>
  <si>
    <t>中粮广场（AB座）</t>
  </si>
  <si>
    <t>华润大厦</t>
  </si>
  <si>
    <t>居然大厦</t>
  </si>
  <si>
    <t>中粮广场C座</t>
  </si>
  <si>
    <t>玖安广场</t>
  </si>
  <si>
    <t>兆泰国际中心（AB座）</t>
  </si>
  <si>
    <t>丰融国际大厦</t>
  </si>
  <si>
    <t>友邦金融中心</t>
  </si>
  <si>
    <t>盈科中心C座</t>
  </si>
  <si>
    <t>华瑞大厦</t>
  </si>
  <si>
    <t>霄云路33号</t>
  </si>
  <si>
    <t>致真大厦</t>
  </si>
  <si>
    <t>丽金智地中心西塔</t>
  </si>
  <si>
    <t>蚂蚁T空间（丽金智地中心东塔）</t>
  </si>
  <si>
    <t>和泓大厦南塔</t>
  </si>
  <si>
    <t>利星行广场</t>
  </si>
  <si>
    <t>利星行中心</t>
  </si>
  <si>
    <t>中航产融大厦</t>
  </si>
  <si>
    <t>阿里巴巴望京A座</t>
  </si>
  <si>
    <t>富泽人寿大厦</t>
  </si>
  <si>
    <t>钰珵大厦</t>
  </si>
  <si>
    <t>招商局广场</t>
  </si>
  <si>
    <t>通州C01</t>
  </si>
  <si>
    <t>业主</t>
    <phoneticPr fontId="2" type="noConversion"/>
  </si>
  <si>
    <t>物业</t>
    <phoneticPr fontId="2" type="noConversion"/>
  </si>
  <si>
    <t>报价</t>
    <phoneticPr fontId="2" type="noConversion"/>
  </si>
  <si>
    <t>物业费</t>
    <phoneticPr fontId="2" type="noConversion"/>
  </si>
  <si>
    <t>表面</t>
    <phoneticPr fontId="2" type="noConversion"/>
  </si>
  <si>
    <t>免租期</t>
    <phoneticPr fontId="2" type="noConversion"/>
  </si>
  <si>
    <t>116.359885,39.906007</t>
    <phoneticPr fontId="2" type="noConversion"/>
  </si>
  <si>
    <t>Ming Lu</t>
  </si>
  <si>
    <t>Lily Liu</t>
  </si>
  <si>
    <t>Cassie Gao</t>
  </si>
  <si>
    <t>Reuben Xu</t>
  </si>
  <si>
    <t>Linda Yang</t>
  </si>
  <si>
    <t>Monica Guo</t>
  </si>
  <si>
    <t>Titus Rong</t>
  </si>
  <si>
    <t>Jayden Kang</t>
  </si>
  <si>
    <t>Iris Liu</t>
  </si>
  <si>
    <t>David Dai</t>
  </si>
  <si>
    <t>WWT世界财富大厦</t>
    <phoneticPr fontId="2" type="noConversion"/>
  </si>
  <si>
    <t>中关村东升科技园·东畔科创中心</t>
    <phoneticPr fontId="2" type="noConversion"/>
  </si>
  <si>
    <t>奥南五号大厦A座（天圆祥泰大厦）</t>
    <phoneticPr fontId="2" type="noConversion"/>
  </si>
  <si>
    <t>奥南五号大厦B座（恒毅大厦）</t>
    <phoneticPr fontId="2" type="noConversion"/>
  </si>
  <si>
    <t>丽金中心（AB座）</t>
    <phoneticPr fontId="2" type="noConversion"/>
  </si>
  <si>
    <t>USER</t>
    <phoneticPr fontId="2" type="noConversion"/>
  </si>
  <si>
    <t>坐标拾取器 | 高德地图API</t>
  </si>
  <si>
    <t>高德地图坐标拾取器地址</t>
  </si>
  <si>
    <t>通州区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</si>
</sst>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_);[Red]\(0\)"/>
    <numFmt numFmtId="177" formatCode="0.0%"/>
    <numFmt numFmtId="178" formatCode="0.0_);[Red]\(0.0\)"/>
  </numFmts>
  <fonts count="12">
    <font>
      <sz val="11"/>
      <color theme="1"/>
      <name val="宋体"/>
      <charset val="134"/>
      <scheme val="minor"/>
    </font>
    <font>
      <sz val="11"/>
      <color theme="1"/>
      <name val="宋体"/>
      <family val="2"/>
      <charset val="134"/>
      <scheme val="minor"/>
    </font>
    <font>
      <sz val="9"/>
      <name val="宋体"/>
      <family val="3"/>
      <charset val="134"/>
      <scheme val="minor"/>
    </font>
    <font>
      <sz val="11"/>
      <name val="宋体 (正文)"/>
      <family val="3"/>
      <charset val="134"/>
    </font>
    <font>
      <sz val="11"/>
      <name val="宋体"/>
      <family val="3"/>
      <charset val="134"/>
    </font>
    <font>
      <sz val="11"/>
      <color theme="1"/>
      <name val="宋体"/>
      <family val="3"/>
      <charset val="134"/>
      <scheme val="minor"/>
    </font>
    <font>
      <sz val="11"/>
      <name val="宋体"/>
      <family val="3"/>
      <charset val="134"/>
      <scheme val="minor"/>
    </font>
    <font>
      <b/>
      <sz val="16"/>
      <name val="宋体 (正文)"/>
      <family val="3"/>
      <charset val="134"/>
    </font>
    <font>
      <b/>
      <sz val="16"/>
      <name val="宋体"/>
      <family val="3"/>
      <charset val="134"/>
      <scheme val="minor"/>
    </font>
    <font>
      <b/>
      <sz val="16"/>
      <color theme="1"/>
      <name val="宋体"/>
      <family val="3"/>
      <charset val="134"/>
      <scheme val="minor"/>
    </font>
    <font>
      <sz val="11"/>
      <name val="宋体"/>
      <family val="2"/>
      <scheme val="minor"/>
    </font>
    <font>
      <u/>
      <sz val="11"/>
      <color theme="10"/>
      <name val="宋体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1" fillId="0" borderId="0">
      <alignment vertical="center"/>
    </xf>
    <xf numFmtId="9" fontId="5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/>
  </cellStyleXfs>
  <cellXfs count="31">
    <xf numFmtId="0" fontId="0" fillId="0" borderId="0" xfId="0"/>
    <xf numFmtId="0" fontId="0" fillId="0" borderId="0" xfId="0" applyProtection="1">
      <protection locked="0"/>
    </xf>
    <xf numFmtId="0" fontId="3" fillId="2" borderId="1" xfId="0" applyFont="1" applyFill="1" applyBorder="1" applyProtection="1">
      <protection hidden="1"/>
    </xf>
    <xf numFmtId="0" fontId="0" fillId="2" borderId="0" xfId="0" applyFill="1" applyProtection="1">
      <protection locked="0"/>
    </xf>
    <xf numFmtId="0" fontId="7" fillId="2" borderId="1" xfId="0" applyFont="1" applyFill="1" applyBorder="1" applyAlignment="1" applyProtection="1">
      <alignment horizontal="center" vertical="center"/>
      <protection hidden="1"/>
    </xf>
    <xf numFmtId="0" fontId="9" fillId="0" borderId="0" xfId="0" applyFont="1" applyAlignment="1" applyProtection="1">
      <alignment horizontal="center" vertical="center"/>
      <protection locked="0"/>
    </xf>
    <xf numFmtId="0" fontId="7" fillId="3" borderId="1" xfId="0" applyFont="1" applyFill="1" applyBorder="1" applyAlignment="1" applyProtection="1">
      <alignment horizontal="center" vertical="center"/>
      <protection hidden="1"/>
    </xf>
    <xf numFmtId="0" fontId="3" fillId="3" borderId="1" xfId="0" applyFont="1" applyFill="1" applyBorder="1" applyProtection="1">
      <protection locked="0"/>
    </xf>
    <xf numFmtId="0" fontId="0" fillId="3" borderId="0" xfId="0" applyFill="1" applyProtection="1">
      <protection locked="0"/>
    </xf>
    <xf numFmtId="0" fontId="3" fillId="2" borderId="1" xfId="0" applyFont="1" applyFill="1" applyBorder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locked="0"/>
    </xf>
    <xf numFmtId="0" fontId="4" fillId="2" borderId="1" xfId="0" applyFont="1" applyFill="1" applyBorder="1" applyAlignment="1" applyProtection="1">
      <alignment horizontal="center"/>
      <protection hidden="1"/>
    </xf>
    <xf numFmtId="176" fontId="7" fillId="3" borderId="1" xfId="0" applyNumberFormat="1" applyFont="1" applyFill="1" applyBorder="1" applyAlignment="1" applyProtection="1">
      <alignment horizontal="center" vertical="center"/>
      <protection hidden="1"/>
    </xf>
    <xf numFmtId="176" fontId="3" fillId="3" borderId="1" xfId="0" applyNumberFormat="1" applyFont="1" applyFill="1" applyBorder="1" applyProtection="1">
      <protection locked="0"/>
    </xf>
    <xf numFmtId="176" fontId="0" fillId="3" borderId="0" xfId="0" applyNumberFormat="1" applyFill="1" applyProtection="1">
      <protection locked="0"/>
    </xf>
    <xf numFmtId="0" fontId="7" fillId="4" borderId="1" xfId="0" applyFont="1" applyFill="1" applyBorder="1" applyAlignment="1" applyProtection="1">
      <alignment horizontal="center" vertical="center"/>
      <protection hidden="1"/>
    </xf>
    <xf numFmtId="0" fontId="3" fillId="4" borderId="1" xfId="0" applyFont="1" applyFill="1" applyBorder="1" applyAlignment="1" applyProtection="1">
      <alignment horizontal="center"/>
      <protection hidden="1"/>
    </xf>
    <xf numFmtId="0" fontId="10" fillId="4" borderId="0" xfId="0" applyFont="1" applyFill="1" applyAlignment="1" applyProtection="1">
      <alignment horizontal="center"/>
      <protection locked="0"/>
    </xf>
    <xf numFmtId="0" fontId="0" fillId="4" borderId="0" xfId="0" applyFill="1" applyAlignment="1" applyProtection="1">
      <alignment horizontal="center"/>
      <protection locked="0"/>
    </xf>
    <xf numFmtId="0" fontId="8" fillId="4" borderId="1" xfId="0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Protection="1">
      <protection hidden="1"/>
    </xf>
    <xf numFmtId="0" fontId="6" fillId="4" borderId="1" xfId="0" applyFont="1" applyFill="1" applyBorder="1" applyProtection="1">
      <protection locked="0"/>
    </xf>
    <xf numFmtId="0" fontId="4" fillId="4" borderId="1" xfId="0" applyFont="1" applyFill="1" applyBorder="1" applyProtection="1">
      <protection hidden="1"/>
    </xf>
    <xf numFmtId="0" fontId="6" fillId="4" borderId="0" xfId="0" applyFont="1" applyFill="1" applyProtection="1">
      <protection locked="0"/>
    </xf>
    <xf numFmtId="0" fontId="11" fillId="0" borderId="0" xfId="3"/>
    <xf numFmtId="177" fontId="7" fillId="2" borderId="1" xfId="2" applyNumberFormat="1" applyFont="1" applyFill="1" applyBorder="1" applyAlignment="1" applyProtection="1">
      <alignment horizontal="center" vertical="center"/>
      <protection hidden="1"/>
    </xf>
    <xf numFmtId="177" fontId="3" fillId="2" borderId="1" xfId="2" applyNumberFormat="1" applyFont="1" applyFill="1" applyBorder="1" applyAlignment="1" applyProtection="1">
      <protection locked="0"/>
    </xf>
    <xf numFmtId="177" fontId="0" fillId="2" borderId="0" xfId="2" applyNumberFormat="1" applyFont="1" applyFill="1" applyAlignment="1" applyProtection="1">
      <protection locked="0"/>
    </xf>
    <xf numFmtId="178" fontId="7" fillId="2" borderId="1" xfId="0" applyNumberFormat="1" applyFont="1" applyFill="1" applyBorder="1" applyAlignment="1" applyProtection="1">
      <alignment horizontal="center" vertical="center"/>
      <protection hidden="1"/>
    </xf>
    <xf numFmtId="178" fontId="3" fillId="2" borderId="1" xfId="0" applyNumberFormat="1" applyFont="1" applyFill="1" applyBorder="1" applyProtection="1">
      <protection locked="0"/>
    </xf>
    <xf numFmtId="178" fontId="0" fillId="2" borderId="0" xfId="0" applyNumberFormat="1" applyFill="1" applyProtection="1">
      <protection locked="0"/>
    </xf>
  </cellXfs>
  <cellStyles count="4">
    <cellStyle name="百分比" xfId="2" builtinId="5"/>
    <cellStyle name="常规" xfId="0" builtinId="0"/>
    <cellStyle name="常规 2" xfId="1" xr:uid="{81D4EE7A-49F9-4559-B92D-CA7C8AC626DC}"/>
    <cellStyle name="超链接" xfId="3" builtinId="8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s://lbs.amap.com/tools/picke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280671-4AFA-4641-88D4-A51F39483890}">
  <dimension ref="A1:T192"/>
  <sheetViews>
    <sheetView tabSelected="1" zoomScale="81" zoomScaleNormal="10" workbookViewId="0">
      <pane ySplit="1" topLeftCell="A109" activePane="bottomLeft" state="frozen"/>
      <selection pane="bottomLeft" activeCell="J149" sqref="J149"/>
    </sheetView>
  </sheetViews>
  <sheetFormatPr defaultColWidth="10.77734375" defaultRowHeight="14.4"/>
  <cols>
    <col min="1" max="1" width="9.44140625" style="3" customWidth="1"/>
    <col min="2" max="5" width="9.44140625" style="10" customWidth="1"/>
    <col min="6" max="6" width="32.109375" style="10" customWidth="1"/>
    <col min="7" max="7" width="19.109375" style="18" bestFit="1" customWidth="1"/>
    <col min="8" max="8" width="15.77734375" style="17" customWidth="1"/>
    <col min="9" max="9" width="36.77734375" style="23" bestFit="1" customWidth="1"/>
    <col min="10" max="10" width="14.33203125" style="23" bestFit="1" customWidth="1"/>
    <col min="11" max="12" width="14" style="8" bestFit="1" customWidth="1"/>
    <col min="13" max="13" width="16.6640625" style="14" bestFit="1" customWidth="1"/>
    <col min="14" max="14" width="14" style="8" bestFit="1" customWidth="1"/>
    <col min="15" max="15" width="16.6640625" style="8" bestFit="1" customWidth="1"/>
    <col min="16" max="16" width="14" style="8" bestFit="1" customWidth="1"/>
    <col min="17" max="17" width="16.6640625" style="8" bestFit="1" customWidth="1"/>
    <col min="18" max="18" width="22.33203125" style="30" bestFit="1" customWidth="1"/>
    <col min="19" max="19" width="16.6640625" style="27" bestFit="1" customWidth="1"/>
    <col min="20" max="20" width="19.33203125" style="14" bestFit="1" customWidth="1"/>
    <col min="21" max="16384" width="10.77734375" style="1"/>
  </cols>
  <sheetData>
    <row r="1" spans="1:20" s="5" customFormat="1" ht="49.05" customHeight="1">
      <c r="A1" s="4" t="s">
        <v>333</v>
      </c>
      <c r="B1" s="4" t="s">
        <v>336</v>
      </c>
      <c r="C1" s="4" t="s">
        <v>337</v>
      </c>
      <c r="D1" s="4" t="s">
        <v>0</v>
      </c>
      <c r="E1" s="4" t="s">
        <v>1</v>
      </c>
      <c r="F1" s="4" t="s">
        <v>2</v>
      </c>
      <c r="G1" s="15" t="s">
        <v>338</v>
      </c>
      <c r="H1" s="15" t="s">
        <v>342</v>
      </c>
      <c r="I1" s="15" t="s">
        <v>335</v>
      </c>
      <c r="J1" s="19" t="s">
        <v>436</v>
      </c>
      <c r="K1" s="6" t="s">
        <v>414</v>
      </c>
      <c r="L1" s="6" t="s">
        <v>415</v>
      </c>
      <c r="M1" s="12" t="s">
        <v>334</v>
      </c>
      <c r="N1" s="6" t="s">
        <v>416</v>
      </c>
      <c r="O1" s="6" t="s">
        <v>417</v>
      </c>
      <c r="P1" s="6" t="s">
        <v>418</v>
      </c>
      <c r="Q1" s="6" t="s">
        <v>419</v>
      </c>
      <c r="R1" s="28" t="s">
        <v>339</v>
      </c>
      <c r="S1" s="25" t="s">
        <v>340</v>
      </c>
      <c r="T1" s="12" t="s">
        <v>341</v>
      </c>
    </row>
    <row r="2" spans="1:20">
      <c r="A2" s="2">
        <v>1</v>
      </c>
      <c r="B2" s="9" t="s">
        <v>4</v>
      </c>
      <c r="C2" s="9" t="s">
        <v>5</v>
      </c>
      <c r="D2" s="9" t="s">
        <v>6</v>
      </c>
      <c r="E2" s="9" t="s">
        <v>7</v>
      </c>
      <c r="F2" s="9" t="s">
        <v>8</v>
      </c>
      <c r="G2" s="16">
        <v>1990</v>
      </c>
      <c r="H2" s="16"/>
      <c r="I2" s="20" t="s">
        <v>3</v>
      </c>
      <c r="J2" s="21" t="s">
        <v>421</v>
      </c>
      <c r="K2" s="7"/>
      <c r="L2" s="7"/>
      <c r="M2" s="13">
        <v>72308</v>
      </c>
      <c r="N2" s="7">
        <v>460</v>
      </c>
      <c r="O2" s="7">
        <v>45</v>
      </c>
      <c r="P2" s="7">
        <v>315</v>
      </c>
      <c r="Q2" s="7">
        <v>3</v>
      </c>
      <c r="R2" s="29">
        <f>P2*(36-Q2)/36</f>
        <v>288.75</v>
      </c>
      <c r="S2" s="26">
        <f>T2/M2</f>
        <v>0.12999944681086464</v>
      </c>
      <c r="T2" s="13">
        <v>9400</v>
      </c>
    </row>
    <row r="3" spans="1:20">
      <c r="A3" s="2">
        <v>2</v>
      </c>
      <c r="B3" s="9" t="s">
        <v>4</v>
      </c>
      <c r="C3" s="9" t="s">
        <v>5</v>
      </c>
      <c r="D3" s="9" t="s">
        <v>6</v>
      </c>
      <c r="E3" s="9" t="s">
        <v>7</v>
      </c>
      <c r="F3" s="9" t="s">
        <v>10</v>
      </c>
      <c r="G3" s="16">
        <v>1999</v>
      </c>
      <c r="H3" s="16"/>
      <c r="I3" s="20" t="s">
        <v>9</v>
      </c>
      <c r="J3" s="21" t="s">
        <v>421</v>
      </c>
      <c r="K3" s="7"/>
      <c r="L3" s="7"/>
      <c r="M3" s="13">
        <v>72308</v>
      </c>
      <c r="N3" s="7">
        <v>460</v>
      </c>
      <c r="O3" s="7">
        <v>45</v>
      </c>
      <c r="P3" s="7">
        <v>335</v>
      </c>
      <c r="Q3" s="7">
        <v>3</v>
      </c>
      <c r="R3" s="29">
        <f>P3*(36-Q3)/36</f>
        <v>307.08333333333331</v>
      </c>
      <c r="S3" s="26">
        <f t="shared" ref="S3:S66" si="0">T3/M3</f>
        <v>2.0053106156995078E-2</v>
      </c>
      <c r="T3" s="13">
        <v>1450</v>
      </c>
    </row>
    <row r="4" spans="1:20">
      <c r="A4" s="2">
        <v>3</v>
      </c>
      <c r="B4" s="9" t="s">
        <v>4</v>
      </c>
      <c r="C4" s="9" t="s">
        <v>12</v>
      </c>
      <c r="D4" s="9" t="s">
        <v>6</v>
      </c>
      <c r="E4" s="9" t="s">
        <v>7</v>
      </c>
      <c r="F4" s="9" t="s">
        <v>14</v>
      </c>
      <c r="G4" s="16">
        <v>2010</v>
      </c>
      <c r="H4" s="16" t="s">
        <v>18</v>
      </c>
      <c r="I4" s="20" t="s">
        <v>11</v>
      </c>
      <c r="J4" s="21" t="s">
        <v>421</v>
      </c>
      <c r="K4" s="7"/>
      <c r="L4" s="7"/>
      <c r="M4" s="13">
        <v>130769</v>
      </c>
      <c r="N4" s="7">
        <v>700</v>
      </c>
      <c r="O4" s="7">
        <v>49</v>
      </c>
      <c r="P4" s="7">
        <v>385</v>
      </c>
      <c r="Q4" s="7">
        <v>2</v>
      </c>
      <c r="R4" s="29">
        <f>P4*(36-Q4)/36</f>
        <v>363.61111111111109</v>
      </c>
      <c r="S4" s="26">
        <f t="shared" si="0"/>
        <v>0.10017664737055418</v>
      </c>
      <c r="T4" s="13">
        <v>13100</v>
      </c>
    </row>
    <row r="5" spans="1:20">
      <c r="A5" s="2">
        <v>4</v>
      </c>
      <c r="B5" s="9" t="s">
        <v>4</v>
      </c>
      <c r="C5" s="9" t="s">
        <v>12</v>
      </c>
      <c r="D5" s="9" t="s">
        <v>6</v>
      </c>
      <c r="E5" s="9" t="s">
        <v>7</v>
      </c>
      <c r="F5" s="9" t="s">
        <v>16</v>
      </c>
      <c r="G5" s="16">
        <v>2017</v>
      </c>
      <c r="H5" s="16" t="s">
        <v>18</v>
      </c>
      <c r="I5" s="20" t="s">
        <v>15</v>
      </c>
      <c r="J5" s="21" t="s">
        <v>421</v>
      </c>
      <c r="K5" s="7"/>
      <c r="L5" s="7"/>
      <c r="M5" s="13">
        <v>64615</v>
      </c>
      <c r="N5" s="7">
        <v>850</v>
      </c>
      <c r="O5" s="7">
        <v>49</v>
      </c>
      <c r="P5" s="7">
        <v>400</v>
      </c>
      <c r="Q5" s="7">
        <v>2</v>
      </c>
      <c r="R5" s="29">
        <f>P5*(36-Q5)/36</f>
        <v>377.77777777777777</v>
      </c>
      <c r="S5" s="26">
        <f t="shared" si="0"/>
        <v>3.0178751063994428E-2</v>
      </c>
      <c r="T5" s="13">
        <v>1950</v>
      </c>
    </row>
    <row r="6" spans="1:20">
      <c r="A6" s="2">
        <v>5</v>
      </c>
      <c r="B6" s="9" t="s">
        <v>4</v>
      </c>
      <c r="C6" s="9" t="s">
        <v>5</v>
      </c>
      <c r="D6" s="9" t="s">
        <v>6</v>
      </c>
      <c r="E6" s="9" t="s">
        <v>7</v>
      </c>
      <c r="F6" s="9" t="s">
        <v>19</v>
      </c>
      <c r="G6" s="16">
        <v>1998</v>
      </c>
      <c r="H6" s="16" t="s">
        <v>18</v>
      </c>
      <c r="I6" s="20" t="s">
        <v>17</v>
      </c>
      <c r="J6" s="21" t="s">
        <v>421</v>
      </c>
      <c r="K6" s="7"/>
      <c r="L6" s="7"/>
      <c r="M6" s="13">
        <v>80091</v>
      </c>
      <c r="N6" s="7">
        <v>450</v>
      </c>
      <c r="O6" s="7">
        <v>43</v>
      </c>
      <c r="P6" s="7">
        <v>250</v>
      </c>
      <c r="Q6" s="7">
        <v>6</v>
      </c>
      <c r="R6" s="29">
        <f t="shared" ref="R6:R69" si="1">P6*(36-Q6)/36</f>
        <v>208.33333333333334</v>
      </c>
      <c r="S6" s="26">
        <f t="shared" si="0"/>
        <v>7.4440324131300639E-2</v>
      </c>
      <c r="T6" s="13">
        <v>5962</v>
      </c>
    </row>
    <row r="7" spans="1:20">
      <c r="A7" s="2">
        <v>6</v>
      </c>
      <c r="B7" s="9" t="s">
        <v>4</v>
      </c>
      <c r="C7" s="9" t="s">
        <v>5</v>
      </c>
      <c r="D7" s="9" t="s">
        <v>6</v>
      </c>
      <c r="E7" s="9" t="s">
        <v>7</v>
      </c>
      <c r="F7" s="9" t="s">
        <v>21</v>
      </c>
      <c r="G7" s="16">
        <v>2005</v>
      </c>
      <c r="H7" s="16"/>
      <c r="I7" s="20" t="s">
        <v>20</v>
      </c>
      <c r="J7" s="21" t="s">
        <v>422</v>
      </c>
      <c r="K7" s="7"/>
      <c r="L7" s="7"/>
      <c r="M7" s="13">
        <v>70673</v>
      </c>
      <c r="N7" s="7">
        <v>350</v>
      </c>
      <c r="O7" s="7">
        <v>43</v>
      </c>
      <c r="P7" s="7">
        <v>265</v>
      </c>
      <c r="Q7" s="7">
        <v>3</v>
      </c>
      <c r="R7" s="29">
        <f t="shared" si="1"/>
        <v>242.91666666666666</v>
      </c>
      <c r="S7" s="26">
        <f t="shared" si="0"/>
        <v>0</v>
      </c>
      <c r="T7" s="13">
        <v>0</v>
      </c>
    </row>
    <row r="8" spans="1:20">
      <c r="A8" s="2">
        <v>7</v>
      </c>
      <c r="B8" s="9" t="s">
        <v>4</v>
      </c>
      <c r="C8" s="9" t="s">
        <v>5</v>
      </c>
      <c r="D8" s="9" t="s">
        <v>6</v>
      </c>
      <c r="E8" s="9" t="s">
        <v>7</v>
      </c>
      <c r="F8" s="9" t="s">
        <v>23</v>
      </c>
      <c r="G8" s="16">
        <v>2005</v>
      </c>
      <c r="H8" s="16" t="s">
        <v>18</v>
      </c>
      <c r="I8" s="20" t="s">
        <v>22</v>
      </c>
      <c r="J8" s="21" t="s">
        <v>421</v>
      </c>
      <c r="K8" s="7"/>
      <c r="L8" s="7"/>
      <c r="M8" s="13">
        <v>90466</v>
      </c>
      <c r="N8" s="7">
        <v>350</v>
      </c>
      <c r="O8" s="7">
        <v>35</v>
      </c>
      <c r="P8" s="7">
        <v>200</v>
      </c>
      <c r="Q8" s="7">
        <v>4</v>
      </c>
      <c r="R8" s="29">
        <f t="shared" si="1"/>
        <v>177.77777777777777</v>
      </c>
      <c r="S8" s="26">
        <f t="shared" si="0"/>
        <v>0.239935445360688</v>
      </c>
      <c r="T8" s="13">
        <v>21706</v>
      </c>
    </row>
    <row r="9" spans="1:20">
      <c r="A9" s="2">
        <v>8</v>
      </c>
      <c r="B9" s="9" t="s">
        <v>4</v>
      </c>
      <c r="C9" s="9" t="s">
        <v>5</v>
      </c>
      <c r="D9" s="9" t="s">
        <v>6</v>
      </c>
      <c r="E9" s="9" t="s">
        <v>7</v>
      </c>
      <c r="F9" s="9" t="s">
        <v>25</v>
      </c>
      <c r="G9" s="16">
        <v>2005</v>
      </c>
      <c r="H9" s="16"/>
      <c r="I9" s="20" t="s">
        <v>24</v>
      </c>
      <c r="J9" s="21" t="s">
        <v>422</v>
      </c>
      <c r="K9" s="7"/>
      <c r="L9" s="7"/>
      <c r="M9" s="13">
        <v>46720</v>
      </c>
      <c r="N9" s="7">
        <v>260</v>
      </c>
      <c r="O9" s="7">
        <v>33</v>
      </c>
      <c r="P9" s="7">
        <v>255</v>
      </c>
      <c r="Q9" s="7">
        <v>8</v>
      </c>
      <c r="R9" s="29">
        <f t="shared" si="1"/>
        <v>198.33333333333334</v>
      </c>
      <c r="S9" s="26">
        <f t="shared" si="0"/>
        <v>7.4453553082191773E-2</v>
      </c>
      <c r="T9" s="13">
        <v>3478.47</v>
      </c>
    </row>
    <row r="10" spans="1:20">
      <c r="A10" s="2">
        <v>9</v>
      </c>
      <c r="B10" s="9" t="s">
        <v>4</v>
      </c>
      <c r="C10" s="9" t="s">
        <v>5</v>
      </c>
      <c r="D10" s="9" t="s">
        <v>6</v>
      </c>
      <c r="E10" s="9" t="s">
        <v>7</v>
      </c>
      <c r="F10" s="9" t="s">
        <v>383</v>
      </c>
      <c r="G10" s="16">
        <v>2006</v>
      </c>
      <c r="H10" s="16" t="s">
        <v>18</v>
      </c>
      <c r="I10" s="22" t="s">
        <v>431</v>
      </c>
      <c r="J10" s="21" t="s">
        <v>422</v>
      </c>
      <c r="K10" s="7"/>
      <c r="L10" s="7"/>
      <c r="M10" s="13">
        <v>95000</v>
      </c>
      <c r="N10" s="7">
        <v>240</v>
      </c>
      <c r="O10" s="7">
        <v>33</v>
      </c>
      <c r="P10" s="7">
        <v>235</v>
      </c>
      <c r="Q10" s="7">
        <v>8</v>
      </c>
      <c r="R10" s="29">
        <f t="shared" si="1"/>
        <v>182.77777777777777</v>
      </c>
      <c r="S10" s="26">
        <f t="shared" si="0"/>
        <v>0.24465263157894737</v>
      </c>
      <c r="T10" s="13">
        <v>23242</v>
      </c>
    </row>
    <row r="11" spans="1:20">
      <c r="A11" s="2">
        <v>10</v>
      </c>
      <c r="B11" s="9" t="s">
        <v>4</v>
      </c>
      <c r="C11" s="9" t="s">
        <v>5</v>
      </c>
      <c r="D11" s="9" t="s">
        <v>6</v>
      </c>
      <c r="E11" s="9" t="s">
        <v>7</v>
      </c>
      <c r="F11" s="9" t="s">
        <v>27</v>
      </c>
      <c r="G11" s="16">
        <v>2007</v>
      </c>
      <c r="H11" s="16" t="s">
        <v>18</v>
      </c>
      <c r="I11" s="20" t="s">
        <v>26</v>
      </c>
      <c r="J11" s="21" t="s">
        <v>422</v>
      </c>
      <c r="K11" s="7"/>
      <c r="L11" s="7"/>
      <c r="M11" s="13">
        <v>85300</v>
      </c>
      <c r="N11" s="7">
        <v>240</v>
      </c>
      <c r="O11" s="7">
        <v>30</v>
      </c>
      <c r="P11" s="7">
        <v>170</v>
      </c>
      <c r="Q11" s="7">
        <v>5</v>
      </c>
      <c r="R11" s="29">
        <f t="shared" si="1"/>
        <v>146.38888888888889</v>
      </c>
      <c r="S11" s="26">
        <f t="shared" si="0"/>
        <v>0.19929660023446658</v>
      </c>
      <c r="T11" s="13">
        <v>17000</v>
      </c>
    </row>
    <row r="12" spans="1:20">
      <c r="A12" s="2">
        <v>11</v>
      </c>
      <c r="B12" s="9" t="s">
        <v>4</v>
      </c>
      <c r="C12" s="9" t="s">
        <v>5</v>
      </c>
      <c r="D12" s="9" t="s">
        <v>6</v>
      </c>
      <c r="E12" s="9" t="s">
        <v>7</v>
      </c>
      <c r="F12" s="9" t="s">
        <v>29</v>
      </c>
      <c r="G12" s="16">
        <v>2007</v>
      </c>
      <c r="H12" s="16" t="s">
        <v>13</v>
      </c>
      <c r="I12" s="20" t="s">
        <v>28</v>
      </c>
      <c r="J12" s="21" t="s">
        <v>422</v>
      </c>
      <c r="K12" s="7"/>
      <c r="L12" s="7"/>
      <c r="M12" s="13">
        <v>33305</v>
      </c>
      <c r="N12" s="7">
        <v>290</v>
      </c>
      <c r="O12" s="7">
        <v>28</v>
      </c>
      <c r="P12" s="7">
        <v>210</v>
      </c>
      <c r="Q12" s="7">
        <v>4</v>
      </c>
      <c r="R12" s="29">
        <f t="shared" si="1"/>
        <v>186.66666666666666</v>
      </c>
      <c r="S12" s="26">
        <f t="shared" si="0"/>
        <v>0.14799579642696292</v>
      </c>
      <c r="T12" s="13">
        <v>4929</v>
      </c>
    </row>
    <row r="13" spans="1:20">
      <c r="A13" s="2">
        <v>12</v>
      </c>
      <c r="B13" s="9" t="s">
        <v>4</v>
      </c>
      <c r="C13" s="9" t="s">
        <v>12</v>
      </c>
      <c r="D13" s="9" t="s">
        <v>6</v>
      </c>
      <c r="E13" s="9" t="s">
        <v>7</v>
      </c>
      <c r="F13" s="9" t="s">
        <v>31</v>
      </c>
      <c r="G13" s="16">
        <v>2007</v>
      </c>
      <c r="H13" s="16" t="s">
        <v>18</v>
      </c>
      <c r="I13" s="20" t="s">
        <v>30</v>
      </c>
      <c r="J13" s="21" t="s">
        <v>421</v>
      </c>
      <c r="K13" s="7"/>
      <c r="L13" s="7"/>
      <c r="M13" s="13">
        <v>120245.21</v>
      </c>
      <c r="N13" s="7">
        <v>465</v>
      </c>
      <c r="O13" s="7">
        <v>38</v>
      </c>
      <c r="P13" s="7">
        <v>285</v>
      </c>
      <c r="Q13" s="7">
        <v>4</v>
      </c>
      <c r="R13" s="29">
        <f t="shared" si="1"/>
        <v>253.33333333333334</v>
      </c>
      <c r="S13" s="26">
        <f t="shared" si="0"/>
        <v>6.6680410803889811E-2</v>
      </c>
      <c r="T13" s="13">
        <v>8018</v>
      </c>
    </row>
    <row r="14" spans="1:20">
      <c r="A14" s="2">
        <v>13</v>
      </c>
      <c r="B14" s="9" t="s">
        <v>4</v>
      </c>
      <c r="C14" s="9" t="s">
        <v>12</v>
      </c>
      <c r="D14" s="9" t="s">
        <v>6</v>
      </c>
      <c r="E14" s="9" t="s">
        <v>7</v>
      </c>
      <c r="F14" s="9" t="s">
        <v>31</v>
      </c>
      <c r="G14" s="16">
        <v>2008</v>
      </c>
      <c r="H14" s="16" t="s">
        <v>18</v>
      </c>
      <c r="I14" s="20" t="s">
        <v>32</v>
      </c>
      <c r="J14" s="21" t="s">
        <v>421</v>
      </c>
      <c r="K14" s="7"/>
      <c r="L14" s="7"/>
      <c r="M14" s="13">
        <v>70425.53</v>
      </c>
      <c r="N14" s="7">
        <v>465</v>
      </c>
      <c r="O14" s="7">
        <v>38</v>
      </c>
      <c r="P14" s="7">
        <v>285</v>
      </c>
      <c r="Q14" s="7">
        <v>4</v>
      </c>
      <c r="R14" s="29">
        <f t="shared" si="1"/>
        <v>253.33333333333334</v>
      </c>
      <c r="S14" s="26">
        <f t="shared" si="0"/>
        <v>9.3091241201876646E-2</v>
      </c>
      <c r="T14" s="13">
        <v>6556</v>
      </c>
    </row>
    <row r="15" spans="1:20">
      <c r="A15" s="2">
        <v>14</v>
      </c>
      <c r="B15" s="9" t="s">
        <v>4</v>
      </c>
      <c r="C15" s="9" t="s">
        <v>12</v>
      </c>
      <c r="D15" s="9" t="s">
        <v>6</v>
      </c>
      <c r="E15" s="9" t="s">
        <v>7</v>
      </c>
      <c r="F15" s="9" t="s">
        <v>34</v>
      </c>
      <c r="G15" s="16">
        <v>2007</v>
      </c>
      <c r="H15" s="16" t="s">
        <v>18</v>
      </c>
      <c r="I15" s="20" t="s">
        <v>33</v>
      </c>
      <c r="J15" s="21" t="s">
        <v>421</v>
      </c>
      <c r="K15" s="7"/>
      <c r="L15" s="7"/>
      <c r="M15" s="13">
        <v>78000</v>
      </c>
      <c r="N15" s="7">
        <v>490</v>
      </c>
      <c r="O15" s="7">
        <v>38</v>
      </c>
      <c r="P15" s="7">
        <v>310</v>
      </c>
      <c r="Q15" s="7">
        <v>6</v>
      </c>
      <c r="R15" s="29">
        <f t="shared" si="1"/>
        <v>258.33333333333331</v>
      </c>
      <c r="S15" s="26">
        <f t="shared" si="0"/>
        <v>0.15384615384615385</v>
      </c>
      <c r="T15" s="13">
        <v>12000</v>
      </c>
    </row>
    <row r="16" spans="1:20">
      <c r="A16" s="2">
        <v>15</v>
      </c>
      <c r="B16" s="9" t="s">
        <v>4</v>
      </c>
      <c r="C16" s="9" t="s">
        <v>5</v>
      </c>
      <c r="D16" s="9" t="s">
        <v>6</v>
      </c>
      <c r="E16" s="9" t="s">
        <v>7</v>
      </c>
      <c r="F16" s="9" t="s">
        <v>36</v>
      </c>
      <c r="G16" s="16">
        <v>2007</v>
      </c>
      <c r="H16" s="16" t="s">
        <v>18</v>
      </c>
      <c r="I16" s="20" t="s">
        <v>35</v>
      </c>
      <c r="J16" s="21" t="s">
        <v>422</v>
      </c>
      <c r="K16" s="7"/>
      <c r="L16" s="7"/>
      <c r="M16" s="13">
        <v>102796</v>
      </c>
      <c r="N16" s="7">
        <v>450</v>
      </c>
      <c r="O16" s="7">
        <v>35</v>
      </c>
      <c r="P16" s="7">
        <v>240</v>
      </c>
      <c r="Q16" s="7">
        <v>6</v>
      </c>
      <c r="R16" s="29">
        <f t="shared" si="1"/>
        <v>200</v>
      </c>
      <c r="S16" s="26">
        <f t="shared" si="0"/>
        <v>0.17095509552900892</v>
      </c>
      <c r="T16" s="13">
        <v>17573.5</v>
      </c>
    </row>
    <row r="17" spans="1:20">
      <c r="A17" s="2">
        <v>16</v>
      </c>
      <c r="B17" s="9" t="s">
        <v>4</v>
      </c>
      <c r="C17" s="9" t="s">
        <v>5</v>
      </c>
      <c r="D17" s="9" t="s">
        <v>6</v>
      </c>
      <c r="E17" s="9" t="s">
        <v>7</v>
      </c>
      <c r="F17" s="9" t="s">
        <v>38</v>
      </c>
      <c r="G17" s="16">
        <v>2007</v>
      </c>
      <c r="H17" s="16" t="s">
        <v>13</v>
      </c>
      <c r="I17" s="20" t="s">
        <v>37</v>
      </c>
      <c r="J17" s="21" t="s">
        <v>422</v>
      </c>
      <c r="K17" s="7"/>
      <c r="L17" s="7"/>
      <c r="M17" s="13">
        <v>49200</v>
      </c>
      <c r="N17" s="7">
        <v>360</v>
      </c>
      <c r="O17" s="7">
        <v>36</v>
      </c>
      <c r="P17" s="7">
        <v>230</v>
      </c>
      <c r="Q17" s="7">
        <v>6</v>
      </c>
      <c r="R17" s="29">
        <f t="shared" si="1"/>
        <v>191.66666666666666</v>
      </c>
      <c r="S17" s="26">
        <f t="shared" si="0"/>
        <v>9.366565040650407E-2</v>
      </c>
      <c r="T17" s="13">
        <v>4608.3500000000004</v>
      </c>
    </row>
    <row r="18" spans="1:20">
      <c r="A18" s="2">
        <v>17</v>
      </c>
      <c r="B18" s="9" t="s">
        <v>4</v>
      </c>
      <c r="C18" s="9" t="s">
        <v>5</v>
      </c>
      <c r="D18" s="9" t="s">
        <v>6</v>
      </c>
      <c r="E18" s="9" t="s">
        <v>7</v>
      </c>
      <c r="F18" s="9" t="s">
        <v>40</v>
      </c>
      <c r="G18" s="16">
        <v>2008</v>
      </c>
      <c r="H18" s="16" t="s">
        <v>18</v>
      </c>
      <c r="I18" s="20" t="s">
        <v>39</v>
      </c>
      <c r="J18" s="21" t="s">
        <v>422</v>
      </c>
      <c r="K18" s="7"/>
      <c r="L18" s="7"/>
      <c r="M18" s="13">
        <v>65096</v>
      </c>
      <c r="N18" s="7">
        <v>400</v>
      </c>
      <c r="O18" s="7">
        <v>33</v>
      </c>
      <c r="P18" s="7">
        <v>240</v>
      </c>
      <c r="Q18" s="7">
        <v>8</v>
      </c>
      <c r="R18" s="29">
        <f t="shared" si="1"/>
        <v>186.66666666666666</v>
      </c>
      <c r="S18" s="26">
        <f t="shared" si="0"/>
        <v>0.12122096595796977</v>
      </c>
      <c r="T18" s="13">
        <v>7891</v>
      </c>
    </row>
    <row r="19" spans="1:20">
      <c r="A19" s="2">
        <v>18</v>
      </c>
      <c r="B19" s="9" t="s">
        <v>4</v>
      </c>
      <c r="C19" s="9" t="s">
        <v>5</v>
      </c>
      <c r="D19" s="9" t="s">
        <v>6</v>
      </c>
      <c r="E19" s="9" t="s">
        <v>7</v>
      </c>
      <c r="F19" s="9" t="s">
        <v>42</v>
      </c>
      <c r="G19" s="16">
        <v>2008</v>
      </c>
      <c r="H19" s="16" t="s">
        <v>13</v>
      </c>
      <c r="I19" s="20" t="s">
        <v>41</v>
      </c>
      <c r="J19" s="21" t="s">
        <v>421</v>
      </c>
      <c r="K19" s="7"/>
      <c r="L19" s="7"/>
      <c r="M19" s="13">
        <v>56000</v>
      </c>
      <c r="N19" s="7">
        <v>300</v>
      </c>
      <c r="O19" s="7">
        <v>36</v>
      </c>
      <c r="P19" s="7">
        <v>220</v>
      </c>
      <c r="Q19" s="7">
        <v>7</v>
      </c>
      <c r="R19" s="29">
        <f t="shared" si="1"/>
        <v>177.22222222222223</v>
      </c>
      <c r="S19" s="26">
        <f t="shared" si="0"/>
        <v>8.2446428571428573E-2</v>
      </c>
      <c r="T19" s="13">
        <v>4617</v>
      </c>
    </row>
    <row r="20" spans="1:20">
      <c r="A20" s="2">
        <v>19</v>
      </c>
      <c r="B20" s="9" t="s">
        <v>4</v>
      </c>
      <c r="C20" s="9" t="s">
        <v>12</v>
      </c>
      <c r="D20" s="9" t="s">
        <v>6</v>
      </c>
      <c r="E20" s="9" t="s">
        <v>7</v>
      </c>
      <c r="F20" s="9" t="s">
        <v>44</v>
      </c>
      <c r="G20" s="16">
        <v>2008</v>
      </c>
      <c r="H20" s="16" t="s">
        <v>18</v>
      </c>
      <c r="I20" s="20" t="s">
        <v>43</v>
      </c>
      <c r="J20" s="21" t="s">
        <v>422</v>
      </c>
      <c r="K20" s="7"/>
      <c r="L20" s="7"/>
      <c r="M20" s="13">
        <v>177847</v>
      </c>
      <c r="N20" s="7">
        <v>400</v>
      </c>
      <c r="O20" s="7">
        <v>38</v>
      </c>
      <c r="P20" s="7">
        <v>300</v>
      </c>
      <c r="Q20" s="7">
        <v>12</v>
      </c>
      <c r="R20" s="29">
        <f t="shared" si="1"/>
        <v>200</v>
      </c>
      <c r="S20" s="26">
        <f t="shared" si="0"/>
        <v>0.27326859604041676</v>
      </c>
      <c r="T20" s="13">
        <v>48600</v>
      </c>
    </row>
    <row r="21" spans="1:20">
      <c r="A21" s="2">
        <v>20</v>
      </c>
      <c r="B21" s="9" t="s">
        <v>4</v>
      </c>
      <c r="C21" s="9" t="s">
        <v>5</v>
      </c>
      <c r="D21" s="9" t="s">
        <v>6</v>
      </c>
      <c r="E21" s="9" t="s">
        <v>7</v>
      </c>
      <c r="F21" s="9" t="s">
        <v>46</v>
      </c>
      <c r="G21" s="16">
        <v>2009</v>
      </c>
      <c r="H21" s="16" t="s">
        <v>18</v>
      </c>
      <c r="I21" s="20" t="s">
        <v>45</v>
      </c>
      <c r="J21" s="21" t="s">
        <v>421</v>
      </c>
      <c r="K21" s="7"/>
      <c r="L21" s="7"/>
      <c r="M21" s="13">
        <v>83000</v>
      </c>
      <c r="N21" s="7">
        <v>420</v>
      </c>
      <c r="O21" s="7">
        <v>32</v>
      </c>
      <c r="P21" s="7">
        <v>215</v>
      </c>
      <c r="Q21" s="7">
        <v>5</v>
      </c>
      <c r="R21" s="29">
        <f t="shared" si="1"/>
        <v>185.13888888888889</v>
      </c>
      <c r="S21" s="26">
        <f t="shared" si="0"/>
        <v>0.12048192771084337</v>
      </c>
      <c r="T21" s="13">
        <v>10000</v>
      </c>
    </row>
    <row r="22" spans="1:20">
      <c r="A22" s="2">
        <v>21</v>
      </c>
      <c r="B22" s="9" t="s">
        <v>4</v>
      </c>
      <c r="C22" s="9" t="s">
        <v>5</v>
      </c>
      <c r="D22" s="9" t="s">
        <v>6</v>
      </c>
      <c r="E22" s="9" t="s">
        <v>7</v>
      </c>
      <c r="F22" s="9" t="s">
        <v>368</v>
      </c>
      <c r="G22" s="16">
        <v>2009</v>
      </c>
      <c r="H22" s="16"/>
      <c r="I22" s="20" t="s">
        <v>47</v>
      </c>
      <c r="J22" s="21" t="s">
        <v>422</v>
      </c>
      <c r="K22" s="7"/>
      <c r="L22" s="7"/>
      <c r="M22" s="13">
        <v>26000</v>
      </c>
      <c r="N22" s="7">
        <v>270</v>
      </c>
      <c r="O22" s="7">
        <v>32</v>
      </c>
      <c r="P22" s="7">
        <v>250</v>
      </c>
      <c r="Q22" s="7">
        <v>4</v>
      </c>
      <c r="R22" s="29">
        <f t="shared" si="1"/>
        <v>222.22222222222223</v>
      </c>
      <c r="S22" s="26">
        <f t="shared" si="0"/>
        <v>3.8461538461538464E-2</v>
      </c>
      <c r="T22" s="13">
        <v>1000</v>
      </c>
    </row>
    <row r="23" spans="1:20">
      <c r="A23" s="2">
        <v>22</v>
      </c>
      <c r="B23" s="9" t="s">
        <v>4</v>
      </c>
      <c r="C23" s="9" t="s">
        <v>5</v>
      </c>
      <c r="D23" s="9" t="s">
        <v>6</v>
      </c>
      <c r="E23" s="9" t="s">
        <v>7</v>
      </c>
      <c r="F23" s="9" t="s">
        <v>49</v>
      </c>
      <c r="G23" s="16">
        <v>2009</v>
      </c>
      <c r="H23" s="16" t="s">
        <v>18</v>
      </c>
      <c r="I23" s="20" t="s">
        <v>48</v>
      </c>
      <c r="J23" s="21" t="s">
        <v>422</v>
      </c>
      <c r="K23" s="7"/>
      <c r="L23" s="7"/>
      <c r="M23" s="13">
        <v>85887</v>
      </c>
      <c r="N23" s="7">
        <v>300</v>
      </c>
      <c r="O23" s="7">
        <v>32</v>
      </c>
      <c r="P23" s="7">
        <v>225</v>
      </c>
      <c r="Q23" s="7">
        <v>5</v>
      </c>
      <c r="R23" s="29">
        <f t="shared" si="1"/>
        <v>193.75</v>
      </c>
      <c r="S23" s="26">
        <f t="shared" si="0"/>
        <v>0.21099817201671964</v>
      </c>
      <c r="T23" s="13">
        <v>18122</v>
      </c>
    </row>
    <row r="24" spans="1:20">
      <c r="A24" s="2">
        <v>23</v>
      </c>
      <c r="B24" s="9" t="s">
        <v>4</v>
      </c>
      <c r="C24" s="9" t="s">
        <v>5</v>
      </c>
      <c r="D24" s="9" t="s">
        <v>6</v>
      </c>
      <c r="E24" s="9" t="s">
        <v>7</v>
      </c>
      <c r="F24" s="9" t="s">
        <v>51</v>
      </c>
      <c r="G24" s="16">
        <v>2009</v>
      </c>
      <c r="H24" s="16" t="s">
        <v>18</v>
      </c>
      <c r="I24" s="20" t="s">
        <v>50</v>
      </c>
      <c r="J24" s="21" t="s">
        <v>422</v>
      </c>
      <c r="K24" s="7"/>
      <c r="L24" s="7"/>
      <c r="M24" s="13">
        <v>20000</v>
      </c>
      <c r="N24" s="7">
        <v>300</v>
      </c>
      <c r="O24" s="7">
        <v>32</v>
      </c>
      <c r="P24" s="7">
        <v>190</v>
      </c>
      <c r="Q24" s="7">
        <v>5</v>
      </c>
      <c r="R24" s="29">
        <f t="shared" si="1"/>
        <v>163.61111111111111</v>
      </c>
      <c r="S24" s="26">
        <f t="shared" si="0"/>
        <v>0.58565</v>
      </c>
      <c r="T24" s="13">
        <v>11713</v>
      </c>
    </row>
    <row r="25" spans="1:20">
      <c r="A25" s="2">
        <v>24</v>
      </c>
      <c r="B25" s="9" t="s">
        <v>4</v>
      </c>
      <c r="C25" s="9" t="s">
        <v>5</v>
      </c>
      <c r="D25" s="9" t="s">
        <v>6</v>
      </c>
      <c r="E25" s="9" t="s">
        <v>7</v>
      </c>
      <c r="F25" s="9" t="s">
        <v>387</v>
      </c>
      <c r="G25" s="16">
        <v>2011</v>
      </c>
      <c r="H25" s="16" t="s">
        <v>18</v>
      </c>
      <c r="I25" s="20" t="s">
        <v>388</v>
      </c>
      <c r="J25" s="21" t="s">
        <v>421</v>
      </c>
      <c r="K25" s="7"/>
      <c r="L25" s="7"/>
      <c r="M25" s="13">
        <v>146385</v>
      </c>
      <c r="N25" s="7">
        <v>420</v>
      </c>
      <c r="O25" s="7">
        <v>32</v>
      </c>
      <c r="P25" s="7">
        <v>275</v>
      </c>
      <c r="Q25" s="7">
        <v>5</v>
      </c>
      <c r="R25" s="29">
        <f t="shared" si="1"/>
        <v>236.80555555555554</v>
      </c>
      <c r="S25" s="26">
        <f t="shared" si="0"/>
        <v>7.6893124295522086E-2</v>
      </c>
      <c r="T25" s="13">
        <v>11256</v>
      </c>
    </row>
    <row r="26" spans="1:20">
      <c r="A26" s="2">
        <v>25</v>
      </c>
      <c r="B26" s="9" t="s">
        <v>4</v>
      </c>
      <c r="C26" s="9" t="s">
        <v>12</v>
      </c>
      <c r="D26" s="9" t="s">
        <v>6</v>
      </c>
      <c r="E26" s="9" t="s">
        <v>7</v>
      </c>
      <c r="F26" s="9" t="s">
        <v>53</v>
      </c>
      <c r="G26" s="16">
        <v>2011</v>
      </c>
      <c r="H26" s="16" t="s">
        <v>18</v>
      </c>
      <c r="I26" s="20" t="s">
        <v>52</v>
      </c>
      <c r="J26" s="21" t="s">
        <v>421</v>
      </c>
      <c r="K26" s="7"/>
      <c r="L26" s="7"/>
      <c r="M26" s="13">
        <v>87000</v>
      </c>
      <c r="N26" s="7">
        <v>430</v>
      </c>
      <c r="O26" s="7">
        <v>43</v>
      </c>
      <c r="P26" s="7">
        <v>250</v>
      </c>
      <c r="Q26" s="7">
        <v>6</v>
      </c>
      <c r="R26" s="29">
        <f t="shared" si="1"/>
        <v>208.33333333333334</v>
      </c>
      <c r="S26" s="26">
        <f t="shared" si="0"/>
        <v>0.17591954022988507</v>
      </c>
      <c r="T26" s="13">
        <v>15305</v>
      </c>
    </row>
    <row r="27" spans="1:20">
      <c r="A27" s="2">
        <v>26</v>
      </c>
      <c r="B27" s="9" t="s">
        <v>4</v>
      </c>
      <c r="C27" s="9" t="s">
        <v>12</v>
      </c>
      <c r="D27" s="9" t="s">
        <v>6</v>
      </c>
      <c r="E27" s="9" t="s">
        <v>7</v>
      </c>
      <c r="F27" s="9" t="s">
        <v>55</v>
      </c>
      <c r="G27" s="16">
        <v>2013</v>
      </c>
      <c r="H27" s="16" t="s">
        <v>18</v>
      </c>
      <c r="I27" s="20" t="s">
        <v>54</v>
      </c>
      <c r="J27" s="21" t="s">
        <v>421</v>
      </c>
      <c r="K27" s="7"/>
      <c r="L27" s="7"/>
      <c r="M27" s="13">
        <v>147166.79999999999</v>
      </c>
      <c r="N27" s="7">
        <v>450</v>
      </c>
      <c r="O27" s="7">
        <v>39</v>
      </c>
      <c r="P27" s="7">
        <v>295</v>
      </c>
      <c r="Q27" s="7">
        <v>7</v>
      </c>
      <c r="R27" s="29">
        <f t="shared" si="1"/>
        <v>237.63888888888889</v>
      </c>
      <c r="S27" s="26">
        <f t="shared" si="0"/>
        <v>0.13999760815618742</v>
      </c>
      <c r="T27" s="13">
        <v>20603</v>
      </c>
    </row>
    <row r="28" spans="1:20">
      <c r="A28" s="2">
        <v>27</v>
      </c>
      <c r="B28" s="9" t="s">
        <v>4</v>
      </c>
      <c r="C28" s="9" t="s">
        <v>5</v>
      </c>
      <c r="D28" s="9" t="s">
        <v>6</v>
      </c>
      <c r="E28" s="9" t="s">
        <v>7</v>
      </c>
      <c r="F28" s="9" t="s">
        <v>57</v>
      </c>
      <c r="G28" s="16">
        <v>2014</v>
      </c>
      <c r="H28" s="16" t="s">
        <v>13</v>
      </c>
      <c r="I28" s="20" t="s">
        <v>56</v>
      </c>
      <c r="J28" s="21" t="s">
        <v>421</v>
      </c>
      <c r="K28" s="7"/>
      <c r="L28" s="7"/>
      <c r="M28" s="13">
        <v>46063</v>
      </c>
      <c r="N28" s="7">
        <v>300</v>
      </c>
      <c r="O28" s="7">
        <v>35</v>
      </c>
      <c r="P28" s="7">
        <v>180</v>
      </c>
      <c r="Q28" s="7">
        <v>4</v>
      </c>
      <c r="R28" s="29">
        <f t="shared" si="1"/>
        <v>160</v>
      </c>
      <c r="S28" s="26">
        <f t="shared" si="0"/>
        <v>9.1418274971235045E-2</v>
      </c>
      <c r="T28" s="13">
        <v>4211</v>
      </c>
    </row>
    <row r="29" spans="1:20">
      <c r="A29" s="2">
        <v>28</v>
      </c>
      <c r="B29" s="9" t="s">
        <v>4</v>
      </c>
      <c r="C29" s="9" t="s">
        <v>5</v>
      </c>
      <c r="D29" s="9" t="s">
        <v>6</v>
      </c>
      <c r="E29" s="9" t="s">
        <v>7</v>
      </c>
      <c r="F29" s="9" t="s">
        <v>59</v>
      </c>
      <c r="G29" s="16">
        <v>2017</v>
      </c>
      <c r="H29" s="16" t="s">
        <v>18</v>
      </c>
      <c r="I29" s="20" t="s">
        <v>58</v>
      </c>
      <c r="J29" s="21" t="s">
        <v>422</v>
      </c>
      <c r="K29" s="7"/>
      <c r="L29" s="7"/>
      <c r="M29" s="13">
        <v>47261</v>
      </c>
      <c r="N29" s="7">
        <v>550</v>
      </c>
      <c r="O29" s="7">
        <v>37</v>
      </c>
      <c r="P29" s="7">
        <v>300</v>
      </c>
      <c r="Q29" s="7">
        <v>7</v>
      </c>
      <c r="R29" s="29">
        <f t="shared" si="1"/>
        <v>241.66666666666666</v>
      </c>
      <c r="S29" s="26">
        <f t="shared" si="0"/>
        <v>0.23315566746365926</v>
      </c>
      <c r="T29" s="13">
        <v>11019.17</v>
      </c>
    </row>
    <row r="30" spans="1:20">
      <c r="A30" s="2">
        <v>29</v>
      </c>
      <c r="B30" s="9" t="s">
        <v>4</v>
      </c>
      <c r="C30" s="9" t="s">
        <v>12</v>
      </c>
      <c r="D30" s="9" t="s">
        <v>6</v>
      </c>
      <c r="E30" s="9" t="s">
        <v>344</v>
      </c>
      <c r="F30" s="9" t="s">
        <v>345</v>
      </c>
      <c r="G30" s="16">
        <v>2019</v>
      </c>
      <c r="H30" s="16" t="s">
        <v>18</v>
      </c>
      <c r="I30" s="20" t="s">
        <v>389</v>
      </c>
      <c r="J30" s="21" t="s">
        <v>421</v>
      </c>
      <c r="K30" s="7"/>
      <c r="L30" s="7"/>
      <c r="M30" s="13">
        <v>119000</v>
      </c>
      <c r="N30" s="7">
        <v>560</v>
      </c>
      <c r="O30" s="7">
        <v>40</v>
      </c>
      <c r="P30" s="7">
        <v>400</v>
      </c>
      <c r="Q30" s="7">
        <v>6</v>
      </c>
      <c r="R30" s="29">
        <f t="shared" si="1"/>
        <v>333.33333333333331</v>
      </c>
      <c r="S30" s="26">
        <f t="shared" si="0"/>
        <v>0.15546218487394958</v>
      </c>
      <c r="T30" s="13">
        <v>18500</v>
      </c>
    </row>
    <row r="31" spans="1:20">
      <c r="A31" s="2">
        <v>30</v>
      </c>
      <c r="B31" s="9" t="s">
        <v>4</v>
      </c>
      <c r="C31" s="9" t="s">
        <v>5</v>
      </c>
      <c r="D31" s="9" t="s">
        <v>6</v>
      </c>
      <c r="E31" s="9" t="s">
        <v>7</v>
      </c>
      <c r="F31" s="9" t="s">
        <v>362</v>
      </c>
      <c r="G31" s="16">
        <v>2019</v>
      </c>
      <c r="H31" s="16"/>
      <c r="I31" s="20" t="s">
        <v>61</v>
      </c>
      <c r="J31" s="21" t="s">
        <v>422</v>
      </c>
      <c r="K31" s="7"/>
      <c r="L31" s="7"/>
      <c r="M31" s="13">
        <v>47000</v>
      </c>
      <c r="N31" s="7">
        <v>650</v>
      </c>
      <c r="O31" s="7">
        <v>38</v>
      </c>
      <c r="P31" s="7">
        <v>350</v>
      </c>
      <c r="Q31" s="7">
        <v>2</v>
      </c>
      <c r="R31" s="29">
        <f t="shared" si="1"/>
        <v>330.55555555555554</v>
      </c>
      <c r="S31" s="26">
        <f t="shared" si="0"/>
        <v>0.12522872340425531</v>
      </c>
      <c r="T31" s="13">
        <v>5885.75</v>
      </c>
    </row>
    <row r="32" spans="1:20">
      <c r="A32" s="2">
        <v>31</v>
      </c>
      <c r="B32" s="9" t="s">
        <v>4</v>
      </c>
      <c r="C32" s="9" t="s">
        <v>12</v>
      </c>
      <c r="D32" s="9" t="s">
        <v>6</v>
      </c>
      <c r="E32" s="9" t="s">
        <v>7</v>
      </c>
      <c r="F32" s="9" t="s">
        <v>63</v>
      </c>
      <c r="G32" s="16">
        <v>2019</v>
      </c>
      <c r="H32" s="16" t="s">
        <v>13</v>
      </c>
      <c r="I32" s="20" t="s">
        <v>62</v>
      </c>
      <c r="J32" s="21" t="s">
        <v>422</v>
      </c>
      <c r="K32" s="7"/>
      <c r="L32" s="7"/>
      <c r="M32" s="13">
        <v>186000</v>
      </c>
      <c r="N32" s="7">
        <v>550</v>
      </c>
      <c r="O32" s="7">
        <v>42</v>
      </c>
      <c r="P32" s="7">
        <v>300</v>
      </c>
      <c r="Q32" s="7">
        <v>5</v>
      </c>
      <c r="R32" s="29">
        <f t="shared" si="1"/>
        <v>258.33333333333331</v>
      </c>
      <c r="S32" s="26">
        <f t="shared" si="0"/>
        <v>9.6774193548387094E-2</v>
      </c>
      <c r="T32" s="13">
        <v>18000</v>
      </c>
    </row>
    <row r="33" spans="1:20">
      <c r="A33" s="2">
        <v>32</v>
      </c>
      <c r="B33" s="9" t="s">
        <v>4</v>
      </c>
      <c r="C33" s="9" t="s">
        <v>5</v>
      </c>
      <c r="D33" s="9" t="s">
        <v>6</v>
      </c>
      <c r="E33" s="9" t="s">
        <v>7</v>
      </c>
      <c r="F33" s="9" t="s">
        <v>65</v>
      </c>
      <c r="G33" s="16">
        <v>2019</v>
      </c>
      <c r="H33" s="16"/>
      <c r="I33" s="20" t="s">
        <v>64</v>
      </c>
      <c r="J33" s="21" t="s">
        <v>421</v>
      </c>
      <c r="K33" s="7"/>
      <c r="L33" s="7"/>
      <c r="M33" s="13">
        <v>40800</v>
      </c>
      <c r="N33" s="7">
        <v>400</v>
      </c>
      <c r="O33" s="7">
        <v>36</v>
      </c>
      <c r="P33" s="7">
        <v>206</v>
      </c>
      <c r="Q33" s="7">
        <v>2</v>
      </c>
      <c r="R33" s="29">
        <f t="shared" si="1"/>
        <v>194.55555555555554</v>
      </c>
      <c r="S33" s="26">
        <f t="shared" si="0"/>
        <v>0.49509803921568629</v>
      </c>
      <c r="T33" s="13">
        <v>20200</v>
      </c>
    </row>
    <row r="34" spans="1:20">
      <c r="A34" s="2">
        <v>33</v>
      </c>
      <c r="B34" s="9" t="s">
        <v>4</v>
      </c>
      <c r="C34" s="9" t="s">
        <v>5</v>
      </c>
      <c r="D34" s="9" t="s">
        <v>6</v>
      </c>
      <c r="E34" s="9" t="s">
        <v>7</v>
      </c>
      <c r="F34" s="9" t="s">
        <v>367</v>
      </c>
      <c r="G34" s="16">
        <v>2019</v>
      </c>
      <c r="H34" s="16"/>
      <c r="I34" s="20" t="s">
        <v>66</v>
      </c>
      <c r="J34" s="21" t="s">
        <v>421</v>
      </c>
      <c r="K34" s="7"/>
      <c r="L34" s="7"/>
      <c r="M34" s="13">
        <v>55200</v>
      </c>
      <c r="N34" s="7">
        <v>400</v>
      </c>
      <c r="O34" s="7">
        <v>36</v>
      </c>
      <c r="P34" s="7">
        <v>230</v>
      </c>
      <c r="Q34" s="7">
        <v>5</v>
      </c>
      <c r="R34" s="29">
        <f t="shared" si="1"/>
        <v>198.05555555555554</v>
      </c>
      <c r="S34" s="26">
        <f t="shared" si="0"/>
        <v>0.94927536231884058</v>
      </c>
      <c r="T34" s="13">
        <v>52400</v>
      </c>
    </row>
    <row r="35" spans="1:20">
      <c r="A35" s="2">
        <v>34</v>
      </c>
      <c r="B35" s="9" t="s">
        <v>4</v>
      </c>
      <c r="C35" s="9" t="s">
        <v>12</v>
      </c>
      <c r="D35" s="9" t="s">
        <v>6</v>
      </c>
      <c r="E35" s="9" t="s">
        <v>7</v>
      </c>
      <c r="F35" s="9" t="s">
        <v>68</v>
      </c>
      <c r="G35" s="16">
        <v>2019</v>
      </c>
      <c r="H35" s="16" t="s">
        <v>13</v>
      </c>
      <c r="I35" s="20" t="s">
        <v>67</v>
      </c>
      <c r="J35" s="21" t="s">
        <v>422</v>
      </c>
      <c r="K35" s="7"/>
      <c r="L35" s="7"/>
      <c r="M35" s="13">
        <v>350000</v>
      </c>
      <c r="N35" s="7">
        <v>490</v>
      </c>
      <c r="O35" s="7">
        <v>58</v>
      </c>
      <c r="P35" s="7">
        <v>490</v>
      </c>
      <c r="Q35" s="7">
        <v>2</v>
      </c>
      <c r="R35" s="29">
        <f t="shared" si="1"/>
        <v>462.77777777777777</v>
      </c>
      <c r="S35" s="26">
        <f t="shared" si="0"/>
        <v>6.2757142857142859E-2</v>
      </c>
      <c r="T35" s="13">
        <v>21965</v>
      </c>
    </row>
    <row r="36" spans="1:20">
      <c r="A36" s="2">
        <v>35</v>
      </c>
      <c r="B36" s="9" t="s">
        <v>4</v>
      </c>
      <c r="C36" s="9" t="s">
        <v>12</v>
      </c>
      <c r="D36" s="9" t="s">
        <v>6</v>
      </c>
      <c r="E36" s="9" t="s">
        <v>7</v>
      </c>
      <c r="F36" s="9" t="s">
        <v>365</v>
      </c>
      <c r="G36" s="16">
        <v>2020</v>
      </c>
      <c r="H36" s="16" t="s">
        <v>18</v>
      </c>
      <c r="I36" s="20" t="s">
        <v>69</v>
      </c>
      <c r="J36" s="21" t="s">
        <v>423</v>
      </c>
      <c r="K36" s="7"/>
      <c r="L36" s="7"/>
      <c r="M36" s="13">
        <v>65000</v>
      </c>
      <c r="N36" s="7">
        <v>520</v>
      </c>
      <c r="O36" s="7">
        <v>38</v>
      </c>
      <c r="P36" s="7">
        <v>230</v>
      </c>
      <c r="Q36" s="7">
        <v>6</v>
      </c>
      <c r="R36" s="29">
        <f t="shared" si="1"/>
        <v>191.66666666666666</v>
      </c>
      <c r="S36" s="26">
        <f t="shared" si="0"/>
        <v>0.31316923076923076</v>
      </c>
      <c r="T36" s="13">
        <v>20356</v>
      </c>
    </row>
    <row r="37" spans="1:20">
      <c r="A37" s="2">
        <v>36</v>
      </c>
      <c r="B37" s="9" t="s">
        <v>4</v>
      </c>
      <c r="C37" s="9" t="s">
        <v>12</v>
      </c>
      <c r="D37" s="9" t="s">
        <v>6</v>
      </c>
      <c r="E37" s="9" t="s">
        <v>7</v>
      </c>
      <c r="F37" s="9" t="s">
        <v>366</v>
      </c>
      <c r="G37" s="16">
        <v>2020</v>
      </c>
      <c r="H37" s="16" t="s">
        <v>18</v>
      </c>
      <c r="I37" s="20" t="s">
        <v>70</v>
      </c>
      <c r="J37" s="21" t="s">
        <v>423</v>
      </c>
      <c r="K37" s="7"/>
      <c r="L37" s="7"/>
      <c r="M37" s="13">
        <v>35000</v>
      </c>
      <c r="N37" s="7">
        <v>520</v>
      </c>
      <c r="O37" s="7">
        <v>38</v>
      </c>
      <c r="P37" s="7">
        <v>250</v>
      </c>
      <c r="Q37" s="7">
        <v>6</v>
      </c>
      <c r="R37" s="29">
        <f t="shared" si="1"/>
        <v>208.33333333333334</v>
      </c>
      <c r="S37" s="26">
        <f t="shared" si="0"/>
        <v>0.23714285714285716</v>
      </c>
      <c r="T37" s="13">
        <v>8300</v>
      </c>
    </row>
    <row r="38" spans="1:20">
      <c r="A38" s="2">
        <v>37</v>
      </c>
      <c r="B38" s="9" t="s">
        <v>4</v>
      </c>
      <c r="C38" s="9" t="s">
        <v>5</v>
      </c>
      <c r="D38" s="9" t="s">
        <v>6</v>
      </c>
      <c r="E38" s="9" t="s">
        <v>7</v>
      </c>
      <c r="F38" s="9" t="s">
        <v>72</v>
      </c>
      <c r="G38" s="16">
        <v>2010</v>
      </c>
      <c r="H38" s="16" t="s">
        <v>18</v>
      </c>
      <c r="I38" s="20" t="s">
        <v>71</v>
      </c>
      <c r="J38" s="21" t="s">
        <v>422</v>
      </c>
      <c r="K38" s="7"/>
      <c r="L38" s="7"/>
      <c r="M38" s="13">
        <v>47000</v>
      </c>
      <c r="N38" s="7">
        <v>330</v>
      </c>
      <c r="O38" s="7">
        <v>34</v>
      </c>
      <c r="P38" s="7">
        <v>210</v>
      </c>
      <c r="Q38" s="7">
        <v>9</v>
      </c>
      <c r="R38" s="29">
        <f t="shared" si="1"/>
        <v>157.5</v>
      </c>
      <c r="S38" s="26">
        <f t="shared" si="0"/>
        <v>5.7446808510638298E-2</v>
      </c>
      <c r="T38" s="13">
        <v>2700</v>
      </c>
    </row>
    <row r="39" spans="1:20">
      <c r="A39" s="2">
        <v>38</v>
      </c>
      <c r="B39" s="9" t="s">
        <v>4</v>
      </c>
      <c r="C39" s="9" t="s">
        <v>12</v>
      </c>
      <c r="D39" s="9" t="s">
        <v>6</v>
      </c>
      <c r="E39" s="9" t="s">
        <v>7</v>
      </c>
      <c r="F39" s="9" t="s">
        <v>74</v>
      </c>
      <c r="G39" s="16">
        <v>2021</v>
      </c>
      <c r="H39" s="16" t="s">
        <v>18</v>
      </c>
      <c r="I39" s="20" t="s">
        <v>73</v>
      </c>
      <c r="J39" s="21" t="s">
        <v>422</v>
      </c>
      <c r="K39" s="7"/>
      <c r="L39" s="7"/>
      <c r="M39" s="13">
        <v>120000</v>
      </c>
      <c r="N39" s="7">
        <v>500</v>
      </c>
      <c r="O39" s="7">
        <v>40</v>
      </c>
      <c r="P39" s="7">
        <v>300</v>
      </c>
      <c r="Q39" s="7">
        <v>7</v>
      </c>
      <c r="R39" s="29">
        <f t="shared" si="1"/>
        <v>241.66666666666666</v>
      </c>
      <c r="S39" s="26">
        <f t="shared" si="0"/>
        <v>0.03</v>
      </c>
      <c r="T39" s="13">
        <v>3600</v>
      </c>
    </row>
    <row r="40" spans="1:20">
      <c r="A40" s="2">
        <v>39</v>
      </c>
      <c r="B40" s="9" t="s">
        <v>4</v>
      </c>
      <c r="C40" s="9" t="s">
        <v>5</v>
      </c>
      <c r="D40" s="9" t="s">
        <v>6</v>
      </c>
      <c r="E40" s="9" t="s">
        <v>7</v>
      </c>
      <c r="F40" s="9" t="s">
        <v>75</v>
      </c>
      <c r="G40" s="16">
        <v>2021</v>
      </c>
      <c r="H40" s="16"/>
      <c r="I40" s="20" t="s">
        <v>390</v>
      </c>
      <c r="J40" s="21" t="s">
        <v>421</v>
      </c>
      <c r="K40" s="7"/>
      <c r="L40" s="7"/>
      <c r="M40" s="13">
        <v>83000</v>
      </c>
      <c r="N40" s="7">
        <v>166</v>
      </c>
      <c r="O40" s="7">
        <v>32</v>
      </c>
      <c r="P40" s="7">
        <v>130</v>
      </c>
      <c r="Q40" s="7">
        <v>2</v>
      </c>
      <c r="R40" s="29">
        <f t="shared" si="1"/>
        <v>122.77777777777777</v>
      </c>
      <c r="S40" s="26">
        <f t="shared" si="0"/>
        <v>0.21949397590361447</v>
      </c>
      <c r="T40" s="13">
        <v>18218</v>
      </c>
    </row>
    <row r="41" spans="1:20">
      <c r="A41" s="2">
        <v>40</v>
      </c>
      <c r="B41" s="9" t="s">
        <v>4</v>
      </c>
      <c r="C41" s="9" t="s">
        <v>12</v>
      </c>
      <c r="D41" s="9" t="s">
        <v>6</v>
      </c>
      <c r="E41" s="9" t="s">
        <v>7</v>
      </c>
      <c r="F41" s="9" t="s">
        <v>77</v>
      </c>
      <c r="G41" s="16">
        <v>2021</v>
      </c>
      <c r="H41" s="16" t="s">
        <v>13</v>
      </c>
      <c r="I41" s="20" t="s">
        <v>76</v>
      </c>
      <c r="J41" s="21" t="s">
        <v>422</v>
      </c>
      <c r="K41" s="7"/>
      <c r="L41" s="7"/>
      <c r="M41" s="13">
        <v>66030</v>
      </c>
      <c r="N41" s="7">
        <v>450</v>
      </c>
      <c r="O41" s="7">
        <v>38</v>
      </c>
      <c r="P41" s="7">
        <v>330</v>
      </c>
      <c r="Q41" s="7">
        <v>5</v>
      </c>
      <c r="R41" s="29">
        <f t="shared" si="1"/>
        <v>284.16666666666669</v>
      </c>
      <c r="S41" s="26">
        <f t="shared" si="0"/>
        <v>0.14162153566560656</v>
      </c>
      <c r="T41" s="13">
        <v>9351.27</v>
      </c>
    </row>
    <row r="42" spans="1:20">
      <c r="A42" s="2">
        <v>41</v>
      </c>
      <c r="B42" s="9" t="s">
        <v>4</v>
      </c>
      <c r="C42" s="9" t="s">
        <v>5</v>
      </c>
      <c r="D42" s="9" t="s">
        <v>6</v>
      </c>
      <c r="E42" s="9" t="s">
        <v>7</v>
      </c>
      <c r="F42" s="9" t="s">
        <v>79</v>
      </c>
      <c r="G42" s="16">
        <v>2009</v>
      </c>
      <c r="H42" s="16" t="s">
        <v>18</v>
      </c>
      <c r="I42" s="20" t="s">
        <v>78</v>
      </c>
      <c r="J42" s="21" t="s">
        <v>422</v>
      </c>
      <c r="K42" s="7"/>
      <c r="L42" s="7"/>
      <c r="M42" s="13">
        <v>40000</v>
      </c>
      <c r="N42" s="7">
        <v>270</v>
      </c>
      <c r="O42" s="7">
        <v>36</v>
      </c>
      <c r="P42" s="7">
        <v>210</v>
      </c>
      <c r="Q42" s="7">
        <v>4</v>
      </c>
      <c r="R42" s="29">
        <f t="shared" si="1"/>
        <v>186.66666666666666</v>
      </c>
      <c r="S42" s="26">
        <f t="shared" si="0"/>
        <v>0.06</v>
      </c>
      <c r="T42" s="13">
        <v>2400</v>
      </c>
    </row>
    <row r="43" spans="1:20">
      <c r="A43" s="2">
        <v>42</v>
      </c>
      <c r="B43" s="9" t="s">
        <v>80</v>
      </c>
      <c r="C43" s="9" t="s">
        <v>5</v>
      </c>
      <c r="D43" s="9" t="s">
        <v>6</v>
      </c>
      <c r="E43" s="9" t="s">
        <v>81</v>
      </c>
      <c r="F43" s="9" t="s">
        <v>82</v>
      </c>
      <c r="G43" s="16">
        <v>1996</v>
      </c>
      <c r="H43" s="16" t="s">
        <v>13</v>
      </c>
      <c r="I43" s="20" t="s">
        <v>391</v>
      </c>
      <c r="J43" s="21" t="s">
        <v>424</v>
      </c>
      <c r="K43" s="7"/>
      <c r="L43" s="7"/>
      <c r="M43" s="13">
        <v>40000</v>
      </c>
      <c r="N43" s="7">
        <v>325</v>
      </c>
      <c r="O43" s="7">
        <v>35</v>
      </c>
      <c r="P43" s="7">
        <v>195</v>
      </c>
      <c r="Q43" s="7">
        <v>3</v>
      </c>
      <c r="R43" s="29">
        <f t="shared" si="1"/>
        <v>178.75</v>
      </c>
      <c r="S43" s="26">
        <f t="shared" si="0"/>
        <v>0.108875</v>
      </c>
      <c r="T43" s="13">
        <v>4355</v>
      </c>
    </row>
    <row r="44" spans="1:20">
      <c r="A44" s="2">
        <v>43</v>
      </c>
      <c r="B44" s="9" t="s">
        <v>80</v>
      </c>
      <c r="C44" s="9" t="s">
        <v>5</v>
      </c>
      <c r="D44" s="9" t="s">
        <v>6</v>
      </c>
      <c r="E44" s="9" t="s">
        <v>81</v>
      </c>
      <c r="F44" s="9" t="s">
        <v>83</v>
      </c>
      <c r="G44" s="16">
        <v>1999</v>
      </c>
      <c r="H44" s="16"/>
      <c r="I44" s="20" t="s">
        <v>392</v>
      </c>
      <c r="J44" s="21" t="s">
        <v>421</v>
      </c>
      <c r="K44" s="7"/>
      <c r="L44" s="7"/>
      <c r="M44" s="13">
        <v>54100</v>
      </c>
      <c r="N44" s="7">
        <v>484</v>
      </c>
      <c r="O44" s="7">
        <v>33</v>
      </c>
      <c r="P44" s="7">
        <v>230</v>
      </c>
      <c r="Q44" s="7">
        <v>5</v>
      </c>
      <c r="R44" s="29">
        <f t="shared" si="1"/>
        <v>198.05555555555554</v>
      </c>
      <c r="S44" s="26">
        <f t="shared" si="0"/>
        <v>0.20959334565619223</v>
      </c>
      <c r="T44" s="13">
        <v>11339</v>
      </c>
    </row>
    <row r="45" spans="1:20">
      <c r="A45" s="2">
        <v>44</v>
      </c>
      <c r="B45" s="9" t="s">
        <v>80</v>
      </c>
      <c r="C45" s="9" t="s">
        <v>5</v>
      </c>
      <c r="D45" s="9" t="s">
        <v>6</v>
      </c>
      <c r="E45" s="9" t="s">
        <v>81</v>
      </c>
      <c r="F45" s="9" t="s">
        <v>372</v>
      </c>
      <c r="G45" s="16">
        <v>2000</v>
      </c>
      <c r="H45" s="16" t="s">
        <v>18</v>
      </c>
      <c r="I45" s="20" t="s">
        <v>84</v>
      </c>
      <c r="J45" s="21" t="s">
        <v>424</v>
      </c>
      <c r="K45" s="7"/>
      <c r="L45" s="7"/>
      <c r="M45" s="13">
        <v>100000</v>
      </c>
      <c r="N45" s="7">
        <v>360</v>
      </c>
      <c r="O45" s="7">
        <v>47</v>
      </c>
      <c r="P45" s="7">
        <v>250</v>
      </c>
      <c r="Q45" s="7">
        <v>4</v>
      </c>
      <c r="R45" s="29">
        <f t="shared" si="1"/>
        <v>222.22222222222223</v>
      </c>
      <c r="S45" s="26">
        <f t="shared" si="0"/>
        <v>0.1</v>
      </c>
      <c r="T45" s="13">
        <v>10000</v>
      </c>
    </row>
    <row r="46" spans="1:20">
      <c r="A46" s="2">
        <v>45</v>
      </c>
      <c r="B46" s="9" t="s">
        <v>80</v>
      </c>
      <c r="C46" s="9" t="s">
        <v>5</v>
      </c>
      <c r="D46" s="9" t="s">
        <v>6</v>
      </c>
      <c r="E46" s="9" t="s">
        <v>81</v>
      </c>
      <c r="F46" s="9" t="s">
        <v>373</v>
      </c>
      <c r="G46" s="16">
        <v>2001</v>
      </c>
      <c r="H46" s="16" t="s">
        <v>18</v>
      </c>
      <c r="I46" s="20" t="s">
        <v>85</v>
      </c>
      <c r="J46" s="21" t="s">
        <v>424</v>
      </c>
      <c r="K46" s="7"/>
      <c r="L46" s="7"/>
      <c r="M46" s="13">
        <v>150000</v>
      </c>
      <c r="N46" s="7">
        <v>360</v>
      </c>
      <c r="O46" s="7">
        <v>47</v>
      </c>
      <c r="P46" s="7">
        <v>250</v>
      </c>
      <c r="Q46" s="7">
        <v>3</v>
      </c>
      <c r="R46" s="29">
        <f t="shared" si="1"/>
        <v>229.16666666666666</v>
      </c>
      <c r="S46" s="26">
        <f t="shared" si="0"/>
        <v>0.05</v>
      </c>
      <c r="T46" s="13">
        <v>7500</v>
      </c>
    </row>
    <row r="47" spans="1:20">
      <c r="A47" s="2">
        <v>46</v>
      </c>
      <c r="B47" s="9" t="s">
        <v>80</v>
      </c>
      <c r="C47" s="9" t="s">
        <v>5</v>
      </c>
      <c r="D47" s="9" t="s">
        <v>6</v>
      </c>
      <c r="E47" s="9" t="s">
        <v>81</v>
      </c>
      <c r="F47" s="9" t="s">
        <v>374</v>
      </c>
      <c r="G47" s="16">
        <v>2002</v>
      </c>
      <c r="H47" s="16" t="s">
        <v>18</v>
      </c>
      <c r="I47" s="20" t="s">
        <v>86</v>
      </c>
      <c r="J47" s="21" t="s">
        <v>424</v>
      </c>
      <c r="K47" s="7"/>
      <c r="L47" s="7"/>
      <c r="M47" s="13">
        <v>50000</v>
      </c>
      <c r="N47" s="7">
        <v>360</v>
      </c>
      <c r="O47" s="7">
        <v>47</v>
      </c>
      <c r="P47" s="7">
        <v>260</v>
      </c>
      <c r="Q47" s="7">
        <v>4</v>
      </c>
      <c r="R47" s="29">
        <f t="shared" si="1"/>
        <v>231.11111111111111</v>
      </c>
      <c r="S47" s="26">
        <f t="shared" si="0"/>
        <v>0.02</v>
      </c>
      <c r="T47" s="13">
        <v>1000</v>
      </c>
    </row>
    <row r="48" spans="1:20">
      <c r="A48" s="2">
        <v>47</v>
      </c>
      <c r="B48" s="9" t="s">
        <v>80</v>
      </c>
      <c r="C48" s="9" t="s">
        <v>5</v>
      </c>
      <c r="D48" s="9" t="s">
        <v>6</v>
      </c>
      <c r="E48" s="9" t="s">
        <v>81</v>
      </c>
      <c r="F48" s="9" t="s">
        <v>88</v>
      </c>
      <c r="G48" s="16">
        <v>2005</v>
      </c>
      <c r="H48" s="16" t="s">
        <v>18</v>
      </c>
      <c r="I48" s="20" t="s">
        <v>87</v>
      </c>
      <c r="J48" s="21" t="s">
        <v>424</v>
      </c>
      <c r="K48" s="7"/>
      <c r="L48" s="7"/>
      <c r="M48" s="13">
        <v>43000</v>
      </c>
      <c r="N48" s="7">
        <v>400</v>
      </c>
      <c r="O48" s="7">
        <v>33</v>
      </c>
      <c r="P48" s="7">
        <v>180</v>
      </c>
      <c r="Q48" s="7">
        <v>6</v>
      </c>
      <c r="R48" s="29">
        <f t="shared" si="1"/>
        <v>150</v>
      </c>
      <c r="S48" s="26">
        <f t="shared" si="0"/>
        <v>0.37941139534883722</v>
      </c>
      <c r="T48" s="13">
        <v>16314.69</v>
      </c>
    </row>
    <row r="49" spans="1:20">
      <c r="A49" s="2">
        <v>48</v>
      </c>
      <c r="B49" s="9" t="s">
        <v>80</v>
      </c>
      <c r="C49" s="9" t="s">
        <v>5</v>
      </c>
      <c r="D49" s="9" t="s">
        <v>6</v>
      </c>
      <c r="E49" s="9" t="s">
        <v>81</v>
      </c>
      <c r="F49" s="9" t="s">
        <v>90</v>
      </c>
      <c r="G49" s="16">
        <v>2006</v>
      </c>
      <c r="H49" s="16"/>
      <c r="I49" s="20" t="s">
        <v>89</v>
      </c>
      <c r="J49" s="21" t="s">
        <v>424</v>
      </c>
      <c r="K49" s="7"/>
      <c r="L49" s="7"/>
      <c r="M49" s="13">
        <v>65000</v>
      </c>
      <c r="N49" s="7">
        <v>300</v>
      </c>
      <c r="O49" s="7">
        <v>30</v>
      </c>
      <c r="P49" s="7">
        <v>270</v>
      </c>
      <c r="Q49" s="7">
        <v>2</v>
      </c>
      <c r="R49" s="29">
        <f t="shared" si="1"/>
        <v>255</v>
      </c>
      <c r="S49" s="26">
        <f t="shared" si="0"/>
        <v>9.8461538461538461E-2</v>
      </c>
      <c r="T49" s="13">
        <v>6400</v>
      </c>
    </row>
    <row r="50" spans="1:20">
      <c r="A50" s="2">
        <v>49</v>
      </c>
      <c r="B50" s="9" t="s">
        <v>80</v>
      </c>
      <c r="C50" s="9" t="s">
        <v>5</v>
      </c>
      <c r="D50" s="9" t="s">
        <v>6</v>
      </c>
      <c r="E50" s="9" t="s">
        <v>81</v>
      </c>
      <c r="F50" s="9" t="s">
        <v>92</v>
      </c>
      <c r="G50" s="16">
        <v>2008</v>
      </c>
      <c r="H50" s="16" t="s">
        <v>18</v>
      </c>
      <c r="I50" s="20" t="s">
        <v>91</v>
      </c>
      <c r="J50" s="21" t="s">
        <v>424</v>
      </c>
      <c r="K50" s="7"/>
      <c r="L50" s="7"/>
      <c r="M50" s="13">
        <v>56000</v>
      </c>
      <c r="N50" s="7">
        <v>400</v>
      </c>
      <c r="O50" s="7">
        <v>32</v>
      </c>
      <c r="P50" s="7">
        <v>340</v>
      </c>
      <c r="Q50" s="7">
        <v>3</v>
      </c>
      <c r="R50" s="29">
        <f t="shared" si="1"/>
        <v>311.66666666666669</v>
      </c>
      <c r="S50" s="26">
        <f t="shared" si="0"/>
        <v>0</v>
      </c>
      <c r="T50" s="13">
        <v>0</v>
      </c>
    </row>
    <row r="51" spans="1:20">
      <c r="A51" s="2">
        <v>50</v>
      </c>
      <c r="B51" s="9" t="s">
        <v>80</v>
      </c>
      <c r="C51" s="9" t="s">
        <v>5</v>
      </c>
      <c r="D51" s="9" t="s">
        <v>6</v>
      </c>
      <c r="E51" s="9" t="s">
        <v>81</v>
      </c>
      <c r="F51" s="9" t="s">
        <v>94</v>
      </c>
      <c r="G51" s="16">
        <v>2008</v>
      </c>
      <c r="H51" s="16"/>
      <c r="I51" s="20" t="s">
        <v>93</v>
      </c>
      <c r="J51" s="21" t="s">
        <v>424</v>
      </c>
      <c r="K51" s="7"/>
      <c r="L51" s="7"/>
      <c r="M51" s="13">
        <v>160000</v>
      </c>
      <c r="N51" s="7">
        <v>417</v>
      </c>
      <c r="O51" s="7">
        <v>33</v>
      </c>
      <c r="P51" s="7">
        <v>230</v>
      </c>
      <c r="Q51" s="7">
        <v>5</v>
      </c>
      <c r="R51" s="29">
        <f t="shared" si="1"/>
        <v>198.05555555555554</v>
      </c>
      <c r="S51" s="26">
        <f t="shared" si="0"/>
        <v>0.48831249999999998</v>
      </c>
      <c r="T51" s="13">
        <v>78130</v>
      </c>
    </row>
    <row r="52" spans="1:20">
      <c r="A52" s="2">
        <v>51</v>
      </c>
      <c r="B52" s="9" t="s">
        <v>80</v>
      </c>
      <c r="C52" s="9" t="s">
        <v>5</v>
      </c>
      <c r="D52" s="9" t="s">
        <v>6</v>
      </c>
      <c r="E52" s="9" t="s">
        <v>81</v>
      </c>
      <c r="F52" s="9" t="s">
        <v>95</v>
      </c>
      <c r="G52" s="16">
        <v>2008</v>
      </c>
      <c r="H52" s="16"/>
      <c r="I52" s="20" t="s">
        <v>393</v>
      </c>
      <c r="J52" s="21" t="s">
        <v>424</v>
      </c>
      <c r="K52" s="7"/>
      <c r="L52" s="7"/>
      <c r="M52" s="13">
        <v>33000</v>
      </c>
      <c r="N52" s="7">
        <v>300</v>
      </c>
      <c r="O52" s="7">
        <v>30</v>
      </c>
      <c r="P52" s="7">
        <v>210</v>
      </c>
      <c r="Q52" s="7">
        <v>6</v>
      </c>
      <c r="R52" s="29">
        <f t="shared" si="1"/>
        <v>175</v>
      </c>
      <c r="S52" s="26">
        <f t="shared" si="0"/>
        <v>0.42424242424242425</v>
      </c>
      <c r="T52" s="13">
        <v>14000</v>
      </c>
    </row>
    <row r="53" spans="1:20">
      <c r="A53" s="2">
        <v>52</v>
      </c>
      <c r="B53" s="9" t="s">
        <v>80</v>
      </c>
      <c r="C53" s="9" t="s">
        <v>5</v>
      </c>
      <c r="D53" s="9" t="s">
        <v>6</v>
      </c>
      <c r="E53" s="9" t="s">
        <v>81</v>
      </c>
      <c r="F53" s="9" t="s">
        <v>98</v>
      </c>
      <c r="G53" s="16">
        <v>2009</v>
      </c>
      <c r="H53" s="16" t="s">
        <v>13</v>
      </c>
      <c r="I53" s="20" t="s">
        <v>96</v>
      </c>
      <c r="J53" s="21" t="s">
        <v>424</v>
      </c>
      <c r="K53" s="7"/>
      <c r="L53" s="7"/>
      <c r="M53" s="13">
        <v>41318</v>
      </c>
      <c r="N53" s="7">
        <v>390</v>
      </c>
      <c r="O53" s="7">
        <v>36</v>
      </c>
      <c r="P53" s="7">
        <v>240</v>
      </c>
      <c r="Q53" s="7">
        <v>8</v>
      </c>
      <c r="R53" s="29">
        <f t="shared" si="1"/>
        <v>186.66666666666666</v>
      </c>
      <c r="S53" s="26">
        <f t="shared" si="0"/>
        <v>0.14888571566871581</v>
      </c>
      <c r="T53" s="13">
        <v>6151.66</v>
      </c>
    </row>
    <row r="54" spans="1:20">
      <c r="A54" s="2">
        <v>53</v>
      </c>
      <c r="B54" s="9" t="s">
        <v>80</v>
      </c>
      <c r="C54" s="9" t="s">
        <v>5</v>
      </c>
      <c r="D54" s="9" t="s">
        <v>6</v>
      </c>
      <c r="E54" s="9" t="s">
        <v>81</v>
      </c>
      <c r="F54" s="9" t="s">
        <v>100</v>
      </c>
      <c r="G54" s="16">
        <v>2007</v>
      </c>
      <c r="H54" s="16"/>
      <c r="I54" s="20" t="s">
        <v>99</v>
      </c>
      <c r="J54" s="21" t="s">
        <v>423</v>
      </c>
      <c r="K54" s="7"/>
      <c r="L54" s="7"/>
      <c r="M54" s="13">
        <v>34131</v>
      </c>
      <c r="N54" s="7">
        <v>360</v>
      </c>
      <c r="O54" s="7">
        <v>34</v>
      </c>
      <c r="P54" s="7">
        <v>210</v>
      </c>
      <c r="Q54" s="7">
        <v>6</v>
      </c>
      <c r="R54" s="29">
        <f t="shared" si="1"/>
        <v>175</v>
      </c>
      <c r="S54" s="26">
        <f t="shared" si="0"/>
        <v>0.61237584600509798</v>
      </c>
      <c r="T54" s="13">
        <v>20901</v>
      </c>
    </row>
    <row r="55" spans="1:20">
      <c r="A55" s="2">
        <v>54</v>
      </c>
      <c r="B55" s="9" t="s">
        <v>80</v>
      </c>
      <c r="C55" s="9" t="s">
        <v>5</v>
      </c>
      <c r="D55" s="9" t="s">
        <v>6</v>
      </c>
      <c r="E55" s="9" t="s">
        <v>81</v>
      </c>
      <c r="F55" s="9" t="s">
        <v>102</v>
      </c>
      <c r="G55" s="16">
        <v>2016</v>
      </c>
      <c r="H55" s="16" t="s">
        <v>13</v>
      </c>
      <c r="I55" s="20" t="s">
        <v>101</v>
      </c>
      <c r="J55" s="21" t="s">
        <v>421</v>
      </c>
      <c r="K55" s="7"/>
      <c r="L55" s="7"/>
      <c r="M55" s="13">
        <v>48000</v>
      </c>
      <c r="N55" s="7">
        <v>480</v>
      </c>
      <c r="O55" s="7">
        <v>35</v>
      </c>
      <c r="P55" s="7">
        <v>210</v>
      </c>
      <c r="Q55" s="7">
        <v>6</v>
      </c>
      <c r="R55" s="29">
        <f t="shared" si="1"/>
        <v>175</v>
      </c>
      <c r="S55" s="26">
        <f t="shared" si="0"/>
        <v>0.26214583333333336</v>
      </c>
      <c r="T55" s="13">
        <v>12583</v>
      </c>
    </row>
    <row r="56" spans="1:20">
      <c r="A56" s="2">
        <v>55</v>
      </c>
      <c r="B56" s="9" t="s">
        <v>80</v>
      </c>
      <c r="C56" s="9" t="s">
        <v>5</v>
      </c>
      <c r="D56" s="9" t="s">
        <v>6</v>
      </c>
      <c r="E56" s="9" t="s">
        <v>81</v>
      </c>
      <c r="F56" s="9" t="s">
        <v>364</v>
      </c>
      <c r="G56" s="16">
        <v>2017</v>
      </c>
      <c r="H56" s="16" t="s">
        <v>13</v>
      </c>
      <c r="I56" s="20" t="s">
        <v>394</v>
      </c>
      <c r="J56" s="21" t="s">
        <v>424</v>
      </c>
      <c r="K56" s="7"/>
      <c r="L56" s="7"/>
      <c r="M56" s="13">
        <v>16000</v>
      </c>
      <c r="N56" s="7">
        <v>385</v>
      </c>
      <c r="O56" s="7">
        <v>35</v>
      </c>
      <c r="P56" s="7">
        <v>215</v>
      </c>
      <c r="Q56" s="7">
        <v>3</v>
      </c>
      <c r="R56" s="29">
        <f t="shared" si="1"/>
        <v>197.08333333333334</v>
      </c>
      <c r="S56" s="26">
        <f t="shared" si="0"/>
        <v>0.25131249999999999</v>
      </c>
      <c r="T56" s="13">
        <v>4021</v>
      </c>
    </row>
    <row r="57" spans="1:20">
      <c r="A57" s="2">
        <v>56</v>
      </c>
      <c r="B57" s="9" t="s">
        <v>80</v>
      </c>
      <c r="C57" s="9" t="s">
        <v>5</v>
      </c>
      <c r="D57" s="9" t="s">
        <v>6</v>
      </c>
      <c r="E57" s="9" t="s">
        <v>81</v>
      </c>
      <c r="F57" s="9" t="s">
        <v>104</v>
      </c>
      <c r="G57" s="16">
        <v>2017</v>
      </c>
      <c r="H57" s="16" t="s">
        <v>13</v>
      </c>
      <c r="I57" s="20" t="s">
        <v>103</v>
      </c>
      <c r="J57" s="21" t="s">
        <v>424</v>
      </c>
      <c r="K57" s="7"/>
      <c r="L57" s="7"/>
      <c r="M57" s="13">
        <v>30000</v>
      </c>
      <c r="N57" s="7">
        <v>240</v>
      </c>
      <c r="O57" s="7">
        <v>33</v>
      </c>
      <c r="P57" s="7">
        <v>180</v>
      </c>
      <c r="Q57" s="7">
        <v>7</v>
      </c>
      <c r="R57" s="29">
        <f t="shared" si="1"/>
        <v>145</v>
      </c>
      <c r="S57" s="26">
        <f t="shared" si="0"/>
        <v>0.24235233333333334</v>
      </c>
      <c r="T57" s="13">
        <v>7270.57</v>
      </c>
    </row>
    <row r="58" spans="1:20">
      <c r="A58" s="2">
        <v>57</v>
      </c>
      <c r="B58" s="9" t="s">
        <v>80</v>
      </c>
      <c r="C58" s="9" t="s">
        <v>5</v>
      </c>
      <c r="D58" s="9" t="s">
        <v>6</v>
      </c>
      <c r="E58" s="9" t="s">
        <v>81</v>
      </c>
      <c r="F58" s="9" t="s">
        <v>106</v>
      </c>
      <c r="G58" s="16">
        <v>2018</v>
      </c>
      <c r="H58" s="16" t="s">
        <v>13</v>
      </c>
      <c r="I58" s="20" t="s">
        <v>105</v>
      </c>
      <c r="J58" s="21" t="s">
        <v>424</v>
      </c>
      <c r="K58" s="7"/>
      <c r="L58" s="7"/>
      <c r="M58" s="13">
        <v>56000</v>
      </c>
      <c r="N58" s="7">
        <v>240</v>
      </c>
      <c r="O58" s="7">
        <v>33</v>
      </c>
      <c r="P58" s="7">
        <v>180</v>
      </c>
      <c r="Q58" s="7">
        <v>7</v>
      </c>
      <c r="R58" s="29">
        <f t="shared" si="1"/>
        <v>145</v>
      </c>
      <c r="S58" s="26">
        <f t="shared" si="0"/>
        <v>0.37934464285714287</v>
      </c>
      <c r="T58" s="13">
        <v>21243.3</v>
      </c>
    </row>
    <row r="59" spans="1:20">
      <c r="A59" s="2">
        <v>58</v>
      </c>
      <c r="B59" s="9" t="s">
        <v>80</v>
      </c>
      <c r="C59" s="9" t="s">
        <v>5</v>
      </c>
      <c r="D59" s="9" t="s">
        <v>6</v>
      </c>
      <c r="E59" s="9" t="s">
        <v>81</v>
      </c>
      <c r="F59" s="9" t="s">
        <v>107</v>
      </c>
      <c r="G59" s="16">
        <v>2018</v>
      </c>
      <c r="H59" s="16" t="s">
        <v>13</v>
      </c>
      <c r="I59" s="20" t="s">
        <v>395</v>
      </c>
      <c r="J59" s="21" t="s">
        <v>424</v>
      </c>
      <c r="K59" s="7"/>
      <c r="L59" s="7"/>
      <c r="M59" s="13">
        <v>43000</v>
      </c>
      <c r="N59" s="7">
        <v>480</v>
      </c>
      <c r="O59" s="7">
        <v>36</v>
      </c>
      <c r="P59" s="7">
        <v>285</v>
      </c>
      <c r="Q59" s="7">
        <v>3</v>
      </c>
      <c r="R59" s="29">
        <f t="shared" si="1"/>
        <v>261.25</v>
      </c>
      <c r="S59" s="26">
        <f t="shared" si="0"/>
        <v>8.683720930232558E-2</v>
      </c>
      <c r="T59" s="13">
        <v>3734</v>
      </c>
    </row>
    <row r="60" spans="1:20">
      <c r="A60" s="2">
        <v>59</v>
      </c>
      <c r="B60" s="9" t="s">
        <v>80</v>
      </c>
      <c r="C60" s="9" t="s">
        <v>5</v>
      </c>
      <c r="D60" s="9" t="s">
        <v>6</v>
      </c>
      <c r="E60" s="9" t="s">
        <v>7</v>
      </c>
      <c r="F60" s="9" t="s">
        <v>363</v>
      </c>
      <c r="G60" s="16">
        <v>2020</v>
      </c>
      <c r="H60" s="16" t="s">
        <v>13</v>
      </c>
      <c r="I60" s="20" t="s">
        <v>396</v>
      </c>
      <c r="J60" s="21" t="s">
        <v>424</v>
      </c>
      <c r="K60" s="7"/>
      <c r="L60" s="7"/>
      <c r="M60" s="13">
        <v>110000</v>
      </c>
      <c r="N60" s="7">
        <v>480</v>
      </c>
      <c r="O60" s="7">
        <v>36</v>
      </c>
      <c r="P60" s="7">
        <v>270</v>
      </c>
      <c r="Q60" s="7">
        <v>4</v>
      </c>
      <c r="R60" s="29">
        <f t="shared" si="1"/>
        <v>240</v>
      </c>
      <c r="S60" s="26">
        <f t="shared" si="0"/>
        <v>2.7453545454545453E-2</v>
      </c>
      <c r="T60" s="13">
        <v>3019.89</v>
      </c>
    </row>
    <row r="61" spans="1:20">
      <c r="A61" s="2">
        <v>60</v>
      </c>
      <c r="B61" s="9" t="s">
        <v>80</v>
      </c>
      <c r="C61" s="9" t="s">
        <v>5</v>
      </c>
      <c r="D61" s="9" t="s">
        <v>6</v>
      </c>
      <c r="E61" s="9" t="s">
        <v>81</v>
      </c>
      <c r="F61" s="9" t="s">
        <v>109</v>
      </c>
      <c r="G61" s="16">
        <v>2021</v>
      </c>
      <c r="H61" s="16"/>
      <c r="I61" s="20" t="s">
        <v>108</v>
      </c>
      <c r="J61" s="21" t="s">
        <v>423</v>
      </c>
      <c r="K61" s="7"/>
      <c r="L61" s="7"/>
      <c r="M61" s="13">
        <v>56160</v>
      </c>
      <c r="N61" s="7">
        <v>420</v>
      </c>
      <c r="O61" s="7">
        <v>36</v>
      </c>
      <c r="P61" s="7">
        <v>310</v>
      </c>
      <c r="Q61" s="7">
        <v>5</v>
      </c>
      <c r="R61" s="29">
        <f t="shared" si="1"/>
        <v>266.94444444444446</v>
      </c>
      <c r="S61" s="26">
        <f t="shared" si="0"/>
        <v>7.4928774928774936E-2</v>
      </c>
      <c r="T61" s="13">
        <v>4208</v>
      </c>
    </row>
    <row r="62" spans="1:20">
      <c r="A62" s="2">
        <v>61</v>
      </c>
      <c r="B62" s="9" t="s">
        <v>80</v>
      </c>
      <c r="C62" s="9" t="s">
        <v>12</v>
      </c>
      <c r="D62" s="9" t="s">
        <v>6</v>
      </c>
      <c r="E62" s="9" t="s">
        <v>81</v>
      </c>
      <c r="F62" s="9" t="s">
        <v>111</v>
      </c>
      <c r="G62" s="16">
        <v>2023</v>
      </c>
      <c r="H62" s="16" t="s">
        <v>18</v>
      </c>
      <c r="I62" s="20" t="s">
        <v>110</v>
      </c>
      <c r="J62" s="21" t="s">
        <v>421</v>
      </c>
      <c r="K62" s="7"/>
      <c r="L62" s="7"/>
      <c r="M62" s="13">
        <v>138444</v>
      </c>
      <c r="N62" s="7">
        <v>450</v>
      </c>
      <c r="O62" s="7">
        <v>38</v>
      </c>
      <c r="P62" s="7">
        <v>325</v>
      </c>
      <c r="Q62" s="7">
        <v>3</v>
      </c>
      <c r="R62" s="29">
        <f t="shared" si="1"/>
        <v>297.91666666666669</v>
      </c>
      <c r="S62" s="26">
        <f t="shared" si="0"/>
        <v>0.42616509202276731</v>
      </c>
      <c r="T62" s="13">
        <v>59000</v>
      </c>
    </row>
    <row r="63" spans="1:20">
      <c r="A63" s="2">
        <v>62</v>
      </c>
      <c r="B63" s="9" t="s">
        <v>113</v>
      </c>
      <c r="C63" s="9" t="s">
        <v>5</v>
      </c>
      <c r="D63" s="9" t="s">
        <v>6</v>
      </c>
      <c r="E63" s="9" t="s">
        <v>60</v>
      </c>
      <c r="F63" s="11" t="s">
        <v>420</v>
      </c>
      <c r="G63" s="16">
        <v>2000</v>
      </c>
      <c r="H63" s="16" t="s">
        <v>13</v>
      </c>
      <c r="I63" s="20" t="s">
        <v>112</v>
      </c>
      <c r="J63" s="21" t="s">
        <v>425</v>
      </c>
      <c r="K63" s="7"/>
      <c r="L63" s="7"/>
      <c r="M63" s="13">
        <v>31000</v>
      </c>
      <c r="N63" s="7">
        <v>510</v>
      </c>
      <c r="O63" s="7">
        <v>32</v>
      </c>
      <c r="P63" s="7">
        <v>350</v>
      </c>
      <c r="Q63" s="7">
        <v>7</v>
      </c>
      <c r="R63" s="29">
        <f t="shared" si="1"/>
        <v>281.94444444444446</v>
      </c>
      <c r="S63" s="26">
        <f t="shared" si="0"/>
        <v>0.15483870967741936</v>
      </c>
      <c r="T63" s="13">
        <v>4800</v>
      </c>
    </row>
    <row r="64" spans="1:20">
      <c r="A64" s="2">
        <v>63</v>
      </c>
      <c r="B64" s="9" t="s">
        <v>113</v>
      </c>
      <c r="C64" s="9" t="s">
        <v>12</v>
      </c>
      <c r="D64" s="9" t="s">
        <v>6</v>
      </c>
      <c r="E64" s="9" t="s">
        <v>60</v>
      </c>
      <c r="F64" s="9" t="s">
        <v>115</v>
      </c>
      <c r="G64" s="16">
        <v>2005</v>
      </c>
      <c r="H64" s="16" t="s">
        <v>13</v>
      </c>
      <c r="I64" s="20" t="s">
        <v>114</v>
      </c>
      <c r="J64" s="21" t="s">
        <v>425</v>
      </c>
      <c r="K64" s="7"/>
      <c r="L64" s="7"/>
      <c r="M64" s="13">
        <v>120000</v>
      </c>
      <c r="N64" s="7">
        <v>550</v>
      </c>
      <c r="O64" s="7">
        <v>34</v>
      </c>
      <c r="P64" s="7">
        <v>530</v>
      </c>
      <c r="Q64" s="7">
        <v>4</v>
      </c>
      <c r="R64" s="29">
        <f t="shared" si="1"/>
        <v>471.11111111111109</v>
      </c>
      <c r="S64" s="26">
        <f t="shared" si="0"/>
        <v>8.7499999999999994E-2</v>
      </c>
      <c r="T64" s="13">
        <v>10500</v>
      </c>
    </row>
    <row r="65" spans="1:20">
      <c r="A65" s="2">
        <v>64</v>
      </c>
      <c r="B65" s="9" t="s">
        <v>113</v>
      </c>
      <c r="C65" s="9" t="s">
        <v>5</v>
      </c>
      <c r="D65" s="9" t="s">
        <v>6</v>
      </c>
      <c r="E65" s="9" t="s">
        <v>60</v>
      </c>
      <c r="F65" s="9" t="s">
        <v>117</v>
      </c>
      <c r="G65" s="16">
        <v>2006</v>
      </c>
      <c r="H65" s="16"/>
      <c r="I65" s="20" t="s">
        <v>116</v>
      </c>
      <c r="J65" s="21" t="s">
        <v>425</v>
      </c>
      <c r="K65" s="7"/>
      <c r="L65" s="7"/>
      <c r="M65" s="13">
        <v>25900</v>
      </c>
      <c r="N65" s="7">
        <v>300</v>
      </c>
      <c r="O65" s="7">
        <v>32</v>
      </c>
      <c r="P65" s="7">
        <v>340</v>
      </c>
      <c r="Q65" s="7">
        <v>3</v>
      </c>
      <c r="R65" s="29">
        <f t="shared" si="1"/>
        <v>311.66666666666669</v>
      </c>
      <c r="S65" s="26">
        <f t="shared" si="0"/>
        <v>0.29289575289575287</v>
      </c>
      <c r="T65" s="13">
        <v>7586</v>
      </c>
    </row>
    <row r="66" spans="1:20">
      <c r="A66" s="2">
        <v>65</v>
      </c>
      <c r="B66" s="9" t="s">
        <v>113</v>
      </c>
      <c r="C66" s="9" t="s">
        <v>5</v>
      </c>
      <c r="D66" s="9" t="s">
        <v>6</v>
      </c>
      <c r="E66" s="9" t="s">
        <v>60</v>
      </c>
      <c r="F66" s="9" t="s">
        <v>119</v>
      </c>
      <c r="G66" s="16">
        <v>2006</v>
      </c>
      <c r="H66" s="16"/>
      <c r="I66" s="20" t="s">
        <v>118</v>
      </c>
      <c r="J66" s="21" t="s">
        <v>425</v>
      </c>
      <c r="K66" s="7"/>
      <c r="L66" s="7"/>
      <c r="M66" s="13">
        <v>47986</v>
      </c>
      <c r="N66" s="7">
        <v>400</v>
      </c>
      <c r="O66" s="7">
        <v>20</v>
      </c>
      <c r="P66" s="7">
        <v>380</v>
      </c>
      <c r="Q66" s="7">
        <v>6</v>
      </c>
      <c r="R66" s="29">
        <f t="shared" si="1"/>
        <v>316.66666666666669</v>
      </c>
      <c r="S66" s="26">
        <f t="shared" si="0"/>
        <v>8.9609469428583333E-2</v>
      </c>
      <c r="T66" s="13">
        <v>4300</v>
      </c>
    </row>
    <row r="67" spans="1:20">
      <c r="A67" s="2">
        <v>66</v>
      </c>
      <c r="B67" s="9" t="s">
        <v>113</v>
      </c>
      <c r="C67" s="9" t="s">
        <v>5</v>
      </c>
      <c r="D67" s="9" t="s">
        <v>6</v>
      </c>
      <c r="E67" s="9" t="s">
        <v>60</v>
      </c>
      <c r="F67" s="9" t="s">
        <v>121</v>
      </c>
      <c r="G67" s="16">
        <v>2007</v>
      </c>
      <c r="H67" s="16" t="s">
        <v>18</v>
      </c>
      <c r="I67" s="20" t="s">
        <v>120</v>
      </c>
      <c r="J67" s="21" t="s">
        <v>425</v>
      </c>
      <c r="K67" s="7"/>
      <c r="L67" s="7"/>
      <c r="M67" s="13">
        <v>194000</v>
      </c>
      <c r="N67" s="7">
        <v>627</v>
      </c>
      <c r="O67" s="7">
        <v>33</v>
      </c>
      <c r="P67" s="7">
        <v>500</v>
      </c>
      <c r="Q67" s="7">
        <v>6</v>
      </c>
      <c r="R67" s="29">
        <f t="shared" si="1"/>
        <v>416.66666666666669</v>
      </c>
      <c r="S67" s="26">
        <f t="shared" ref="S67:S130" si="2">T67/M67</f>
        <v>8.9783505154639176E-2</v>
      </c>
      <c r="T67" s="13">
        <v>17418</v>
      </c>
    </row>
    <row r="68" spans="1:20">
      <c r="A68" s="2">
        <v>67</v>
      </c>
      <c r="B68" s="9" t="s">
        <v>113</v>
      </c>
      <c r="C68" s="9" t="s">
        <v>5</v>
      </c>
      <c r="D68" s="9" t="s">
        <v>6</v>
      </c>
      <c r="E68" s="9" t="s">
        <v>60</v>
      </c>
      <c r="F68" s="9" t="s">
        <v>123</v>
      </c>
      <c r="G68" s="16">
        <v>2007</v>
      </c>
      <c r="H68" s="16" t="s">
        <v>13</v>
      </c>
      <c r="I68" s="20" t="s">
        <v>122</v>
      </c>
      <c r="J68" s="21" t="s">
        <v>425</v>
      </c>
      <c r="K68" s="7"/>
      <c r="L68" s="7"/>
      <c r="M68" s="13">
        <v>39724</v>
      </c>
      <c r="N68" s="7">
        <v>500</v>
      </c>
      <c r="O68" s="7">
        <v>34</v>
      </c>
      <c r="P68" s="7">
        <v>350</v>
      </c>
      <c r="Q68" s="7">
        <v>7</v>
      </c>
      <c r="R68" s="29">
        <f t="shared" si="1"/>
        <v>281.94444444444446</v>
      </c>
      <c r="S68" s="26">
        <f t="shared" si="2"/>
        <v>9.0625314671231499E-2</v>
      </c>
      <c r="T68" s="13">
        <v>3600</v>
      </c>
    </row>
    <row r="69" spans="1:20">
      <c r="A69" s="2">
        <v>68</v>
      </c>
      <c r="B69" s="9" t="s">
        <v>113</v>
      </c>
      <c r="C69" s="9" t="s">
        <v>5</v>
      </c>
      <c r="D69" s="9" t="s">
        <v>6</v>
      </c>
      <c r="E69" s="9" t="s">
        <v>60</v>
      </c>
      <c r="F69" s="9" t="s">
        <v>379</v>
      </c>
      <c r="G69" s="16">
        <v>2007</v>
      </c>
      <c r="H69" s="16"/>
      <c r="I69" s="20" t="s">
        <v>124</v>
      </c>
      <c r="J69" s="21" t="s">
        <v>425</v>
      </c>
      <c r="K69" s="7"/>
      <c r="L69" s="7"/>
      <c r="M69" s="13">
        <v>48437.45</v>
      </c>
      <c r="N69" s="7">
        <v>360</v>
      </c>
      <c r="O69" s="7">
        <v>30</v>
      </c>
      <c r="P69" s="7">
        <v>320</v>
      </c>
      <c r="Q69" s="7">
        <v>6</v>
      </c>
      <c r="R69" s="29">
        <f t="shared" si="1"/>
        <v>266.66666666666669</v>
      </c>
      <c r="S69" s="26">
        <f t="shared" si="2"/>
        <v>7.7398789572944077E-2</v>
      </c>
      <c r="T69" s="13">
        <v>3749</v>
      </c>
    </row>
    <row r="70" spans="1:20">
      <c r="A70" s="2">
        <v>69</v>
      </c>
      <c r="B70" s="9" t="s">
        <v>113</v>
      </c>
      <c r="C70" s="9" t="s">
        <v>5</v>
      </c>
      <c r="D70" s="9" t="s">
        <v>6</v>
      </c>
      <c r="E70" s="9" t="s">
        <v>60</v>
      </c>
      <c r="F70" s="9" t="s">
        <v>126</v>
      </c>
      <c r="G70" s="16">
        <v>2007</v>
      </c>
      <c r="H70" s="16"/>
      <c r="I70" s="20" t="s">
        <v>125</v>
      </c>
      <c r="J70" s="21" t="s">
        <v>425</v>
      </c>
      <c r="K70" s="7"/>
      <c r="L70" s="7"/>
      <c r="M70" s="13">
        <v>37910</v>
      </c>
      <c r="N70" s="7">
        <v>480</v>
      </c>
      <c r="O70" s="7">
        <v>34</v>
      </c>
      <c r="P70" s="7">
        <v>330</v>
      </c>
      <c r="Q70" s="7">
        <v>6</v>
      </c>
      <c r="R70" s="29">
        <f t="shared" ref="R70:R133" si="3">P70*(36-Q70)/36</f>
        <v>275</v>
      </c>
      <c r="S70" s="26">
        <f t="shared" si="2"/>
        <v>6.594566077552097E-2</v>
      </c>
      <c r="T70" s="13">
        <v>2500</v>
      </c>
    </row>
    <row r="71" spans="1:20">
      <c r="A71" s="2">
        <v>70</v>
      </c>
      <c r="B71" s="9" t="s">
        <v>113</v>
      </c>
      <c r="C71" s="9" t="s">
        <v>5</v>
      </c>
      <c r="D71" s="9" t="s">
        <v>6</v>
      </c>
      <c r="E71" s="9" t="s">
        <v>60</v>
      </c>
      <c r="F71" s="9" t="s">
        <v>346</v>
      </c>
      <c r="G71" s="16">
        <v>2007</v>
      </c>
      <c r="H71" s="16"/>
      <c r="I71" s="20" t="s">
        <v>343</v>
      </c>
      <c r="J71" s="21" t="s">
        <v>425</v>
      </c>
      <c r="K71" s="7"/>
      <c r="L71" s="7"/>
      <c r="M71" s="13">
        <v>21220</v>
      </c>
      <c r="N71" s="7">
        <v>650</v>
      </c>
      <c r="O71" s="7">
        <v>38</v>
      </c>
      <c r="P71" s="7">
        <v>560</v>
      </c>
      <c r="Q71" s="7">
        <v>3</v>
      </c>
      <c r="R71" s="29">
        <f t="shared" si="3"/>
        <v>513.33333333333337</v>
      </c>
      <c r="S71" s="26">
        <f t="shared" si="2"/>
        <v>0</v>
      </c>
      <c r="T71" s="13">
        <v>0</v>
      </c>
    </row>
    <row r="72" spans="1:20">
      <c r="A72" s="2">
        <v>71</v>
      </c>
      <c r="B72" s="9" t="s">
        <v>113</v>
      </c>
      <c r="C72" s="9" t="s">
        <v>5</v>
      </c>
      <c r="D72" s="9" t="s">
        <v>6</v>
      </c>
      <c r="E72" s="9" t="s">
        <v>60</v>
      </c>
      <c r="F72" s="9" t="s">
        <v>127</v>
      </c>
      <c r="G72" s="16">
        <v>2008</v>
      </c>
      <c r="H72" s="16"/>
      <c r="I72" s="20" t="s">
        <v>397</v>
      </c>
      <c r="J72" s="21" t="s">
        <v>425</v>
      </c>
      <c r="K72" s="7"/>
      <c r="L72" s="7"/>
      <c r="M72" s="13">
        <v>77877</v>
      </c>
      <c r="N72" s="7">
        <v>500</v>
      </c>
      <c r="O72" s="7">
        <v>33</v>
      </c>
      <c r="P72" s="7">
        <v>420</v>
      </c>
      <c r="Q72" s="7">
        <v>6</v>
      </c>
      <c r="R72" s="29">
        <f t="shared" si="3"/>
        <v>350</v>
      </c>
      <c r="S72" s="26">
        <f t="shared" si="2"/>
        <v>6.4203808569924373E-2</v>
      </c>
      <c r="T72" s="13">
        <v>5000</v>
      </c>
    </row>
    <row r="73" spans="1:20">
      <c r="A73" s="2">
        <v>72</v>
      </c>
      <c r="B73" s="9" t="s">
        <v>113</v>
      </c>
      <c r="C73" s="9" t="s">
        <v>5</v>
      </c>
      <c r="D73" s="9" t="s">
        <v>6</v>
      </c>
      <c r="E73" s="9" t="s">
        <v>60</v>
      </c>
      <c r="F73" s="9" t="s">
        <v>129</v>
      </c>
      <c r="G73" s="16">
        <v>2009</v>
      </c>
      <c r="H73" s="16" t="s">
        <v>13</v>
      </c>
      <c r="I73" s="20" t="s">
        <v>128</v>
      </c>
      <c r="J73" s="21" t="s">
        <v>425</v>
      </c>
      <c r="K73" s="7"/>
      <c r="L73" s="7"/>
      <c r="M73" s="13">
        <v>80311.53</v>
      </c>
      <c r="N73" s="7">
        <v>600</v>
      </c>
      <c r="O73" s="7">
        <v>36</v>
      </c>
      <c r="P73" s="7">
        <v>500</v>
      </c>
      <c r="Q73" s="7">
        <v>5</v>
      </c>
      <c r="R73" s="29">
        <f t="shared" si="3"/>
        <v>430.55555555555554</v>
      </c>
      <c r="S73" s="26">
        <f t="shared" si="2"/>
        <v>0.11058188033523954</v>
      </c>
      <c r="T73" s="13">
        <v>8881</v>
      </c>
    </row>
    <row r="74" spans="1:20">
      <c r="A74" s="2">
        <v>73</v>
      </c>
      <c r="B74" s="9" t="s">
        <v>113</v>
      </c>
      <c r="C74" s="9" t="s">
        <v>5</v>
      </c>
      <c r="D74" s="9" t="s">
        <v>6</v>
      </c>
      <c r="E74" s="9" t="s">
        <v>60</v>
      </c>
      <c r="F74" s="9" t="s">
        <v>131</v>
      </c>
      <c r="G74" s="16">
        <v>2010</v>
      </c>
      <c r="H74" s="16" t="s">
        <v>18</v>
      </c>
      <c r="I74" s="20" t="s">
        <v>130</v>
      </c>
      <c r="J74" s="21" t="s">
        <v>425</v>
      </c>
      <c r="K74" s="7"/>
      <c r="L74" s="7"/>
      <c r="M74" s="13">
        <v>38000</v>
      </c>
      <c r="N74" s="7">
        <v>450</v>
      </c>
      <c r="O74" s="7">
        <v>35</v>
      </c>
      <c r="P74" s="7">
        <v>420</v>
      </c>
      <c r="Q74" s="7">
        <v>6</v>
      </c>
      <c r="R74" s="29">
        <f t="shared" si="3"/>
        <v>350</v>
      </c>
      <c r="S74" s="26">
        <f t="shared" si="2"/>
        <v>0.34210526315789475</v>
      </c>
      <c r="T74" s="13">
        <v>13000</v>
      </c>
    </row>
    <row r="75" spans="1:20">
      <c r="A75" s="2">
        <v>74</v>
      </c>
      <c r="B75" s="9" t="s">
        <v>113</v>
      </c>
      <c r="C75" s="9" t="s">
        <v>5</v>
      </c>
      <c r="D75" s="9" t="s">
        <v>6</v>
      </c>
      <c r="E75" s="9" t="s">
        <v>60</v>
      </c>
      <c r="F75" s="9" t="s">
        <v>133</v>
      </c>
      <c r="G75" s="16">
        <v>2013</v>
      </c>
      <c r="H75" s="16"/>
      <c r="I75" s="20" t="s">
        <v>132</v>
      </c>
      <c r="J75" s="21" t="s">
        <v>425</v>
      </c>
      <c r="K75" s="7"/>
      <c r="L75" s="7"/>
      <c r="M75" s="13">
        <v>37800</v>
      </c>
      <c r="N75" s="7">
        <v>550</v>
      </c>
      <c r="O75" s="7">
        <v>33</v>
      </c>
      <c r="P75" s="7">
        <v>450</v>
      </c>
      <c r="Q75" s="7">
        <v>5</v>
      </c>
      <c r="R75" s="29">
        <f t="shared" si="3"/>
        <v>387.5</v>
      </c>
      <c r="S75" s="26">
        <f t="shared" si="2"/>
        <v>0</v>
      </c>
      <c r="T75" s="13">
        <v>0</v>
      </c>
    </row>
    <row r="76" spans="1:20">
      <c r="A76" s="2">
        <v>75</v>
      </c>
      <c r="B76" s="9" t="s">
        <v>113</v>
      </c>
      <c r="C76" s="9" t="s">
        <v>5</v>
      </c>
      <c r="D76" s="9" t="s">
        <v>6</v>
      </c>
      <c r="E76" s="9" t="s">
        <v>60</v>
      </c>
      <c r="F76" s="9" t="s">
        <v>353</v>
      </c>
      <c r="G76" s="16">
        <v>2015</v>
      </c>
      <c r="H76" s="16" t="s">
        <v>13</v>
      </c>
      <c r="I76" s="20" t="s">
        <v>134</v>
      </c>
      <c r="J76" s="21" t="s">
        <v>425</v>
      </c>
      <c r="K76" s="7"/>
      <c r="L76" s="7"/>
      <c r="M76" s="13">
        <v>54581</v>
      </c>
      <c r="N76" s="7">
        <v>650</v>
      </c>
      <c r="O76" s="7">
        <v>34</v>
      </c>
      <c r="P76" s="7">
        <v>420</v>
      </c>
      <c r="Q76" s="7">
        <v>6</v>
      </c>
      <c r="R76" s="29">
        <f t="shared" si="3"/>
        <v>350</v>
      </c>
      <c r="S76" s="26">
        <f t="shared" si="2"/>
        <v>5.784064051593045E-2</v>
      </c>
      <c r="T76" s="13">
        <v>3157</v>
      </c>
    </row>
    <row r="77" spans="1:20">
      <c r="A77" s="2">
        <v>76</v>
      </c>
      <c r="B77" s="9" t="s">
        <v>113</v>
      </c>
      <c r="C77" s="9" t="s">
        <v>5</v>
      </c>
      <c r="D77" s="9" t="s">
        <v>6</v>
      </c>
      <c r="E77" s="9" t="s">
        <v>60</v>
      </c>
      <c r="F77" s="9" t="s">
        <v>380</v>
      </c>
      <c r="G77" s="16">
        <v>2016</v>
      </c>
      <c r="H77" s="16" t="s">
        <v>13</v>
      </c>
      <c r="I77" s="20" t="s">
        <v>135</v>
      </c>
      <c r="J77" s="21" t="s">
        <v>425</v>
      </c>
      <c r="K77" s="7"/>
      <c r="L77" s="7"/>
      <c r="M77" s="13">
        <v>25000</v>
      </c>
      <c r="N77" s="7">
        <v>500</v>
      </c>
      <c r="O77" s="7">
        <v>30</v>
      </c>
      <c r="P77" s="7">
        <v>450</v>
      </c>
      <c r="Q77" s="7">
        <v>7</v>
      </c>
      <c r="R77" s="29">
        <f t="shared" si="3"/>
        <v>362.5</v>
      </c>
      <c r="S77" s="26">
        <f t="shared" si="2"/>
        <v>0.38147999999999999</v>
      </c>
      <c r="T77" s="13">
        <v>9537</v>
      </c>
    </row>
    <row r="78" spans="1:20">
      <c r="A78" s="2">
        <v>77</v>
      </c>
      <c r="B78" s="9" t="s">
        <v>113</v>
      </c>
      <c r="C78" s="9" t="s">
        <v>5</v>
      </c>
      <c r="D78" s="9" t="s">
        <v>6</v>
      </c>
      <c r="E78" s="9" t="s">
        <v>60</v>
      </c>
      <c r="F78" s="9" t="s">
        <v>137</v>
      </c>
      <c r="G78" s="16">
        <v>2019</v>
      </c>
      <c r="H78" s="16" t="s">
        <v>13</v>
      </c>
      <c r="I78" s="20" t="s">
        <v>136</v>
      </c>
      <c r="J78" s="21" t="s">
        <v>425</v>
      </c>
      <c r="K78" s="7"/>
      <c r="L78" s="7"/>
      <c r="M78" s="13">
        <v>52698</v>
      </c>
      <c r="N78" s="7">
        <v>650</v>
      </c>
      <c r="O78" s="7">
        <v>30</v>
      </c>
      <c r="P78" s="7">
        <v>590</v>
      </c>
      <c r="Q78" s="7">
        <v>3</v>
      </c>
      <c r="R78" s="29">
        <f t="shared" si="3"/>
        <v>540.83333333333337</v>
      </c>
      <c r="S78" s="26">
        <f t="shared" si="2"/>
        <v>6.4518577555125425E-2</v>
      </c>
      <c r="T78" s="13">
        <v>3400</v>
      </c>
    </row>
    <row r="79" spans="1:20">
      <c r="A79" s="2">
        <v>78</v>
      </c>
      <c r="B79" s="9" t="s">
        <v>113</v>
      </c>
      <c r="C79" s="9" t="s">
        <v>5</v>
      </c>
      <c r="D79" s="9" t="s">
        <v>6</v>
      </c>
      <c r="E79" s="9" t="s">
        <v>139</v>
      </c>
      <c r="F79" s="9" t="s">
        <v>352</v>
      </c>
      <c r="G79" s="16">
        <v>2007</v>
      </c>
      <c r="H79" s="16"/>
      <c r="I79" s="20" t="s">
        <v>138</v>
      </c>
      <c r="J79" s="21" t="s">
        <v>425</v>
      </c>
      <c r="K79" s="7"/>
      <c r="L79" s="7"/>
      <c r="M79" s="13">
        <v>38500</v>
      </c>
      <c r="N79" s="7">
        <v>330</v>
      </c>
      <c r="O79" s="7">
        <v>45</v>
      </c>
      <c r="P79" s="7">
        <v>230</v>
      </c>
      <c r="Q79" s="7">
        <v>3</v>
      </c>
      <c r="R79" s="29">
        <f t="shared" si="3"/>
        <v>210.83333333333334</v>
      </c>
      <c r="S79" s="26">
        <f t="shared" si="2"/>
        <v>0.22270129870129871</v>
      </c>
      <c r="T79" s="13">
        <v>8574</v>
      </c>
    </row>
    <row r="80" spans="1:20">
      <c r="A80" s="2">
        <v>79</v>
      </c>
      <c r="B80" s="9" t="s">
        <v>113</v>
      </c>
      <c r="C80" s="9" t="s">
        <v>141</v>
      </c>
      <c r="D80" s="9" t="s">
        <v>6</v>
      </c>
      <c r="E80" s="9" t="s">
        <v>60</v>
      </c>
      <c r="F80" s="9" t="s">
        <v>142</v>
      </c>
      <c r="G80" s="16">
        <v>2011</v>
      </c>
      <c r="H80" s="16"/>
      <c r="I80" s="20" t="s">
        <v>140</v>
      </c>
      <c r="J80" s="21" t="s">
        <v>425</v>
      </c>
      <c r="K80" s="7"/>
      <c r="L80" s="7"/>
      <c r="M80" s="13">
        <v>27200</v>
      </c>
      <c r="N80" s="7">
        <v>330</v>
      </c>
      <c r="O80" s="7">
        <v>30</v>
      </c>
      <c r="P80" s="7">
        <v>220</v>
      </c>
      <c r="Q80" s="7">
        <v>4</v>
      </c>
      <c r="R80" s="29">
        <f t="shared" si="3"/>
        <v>195.55555555555554</v>
      </c>
      <c r="S80" s="26">
        <f t="shared" si="2"/>
        <v>0.26286764705882354</v>
      </c>
      <c r="T80" s="13">
        <v>7150</v>
      </c>
    </row>
    <row r="81" spans="1:20">
      <c r="A81" s="2">
        <v>80</v>
      </c>
      <c r="B81" s="9" t="s">
        <v>97</v>
      </c>
      <c r="C81" s="9" t="s">
        <v>5</v>
      </c>
      <c r="D81" s="9" t="s">
        <v>6</v>
      </c>
      <c r="E81" s="9" t="s">
        <v>7</v>
      </c>
      <c r="F81" s="9" t="s">
        <v>382</v>
      </c>
      <c r="G81" s="16">
        <v>1999</v>
      </c>
      <c r="H81" s="16" t="s">
        <v>13</v>
      </c>
      <c r="I81" s="20" t="s">
        <v>143</v>
      </c>
      <c r="J81" s="21" t="s">
        <v>426</v>
      </c>
      <c r="K81" s="7"/>
      <c r="L81" s="7"/>
      <c r="M81" s="13">
        <v>60000</v>
      </c>
      <c r="N81" s="7">
        <v>370</v>
      </c>
      <c r="O81" s="7">
        <v>32.86</v>
      </c>
      <c r="P81" s="7">
        <v>240</v>
      </c>
      <c r="Q81" s="7">
        <v>6</v>
      </c>
      <c r="R81" s="29">
        <f t="shared" si="3"/>
        <v>200</v>
      </c>
      <c r="S81" s="26">
        <f t="shared" si="2"/>
        <v>0.32058333333333333</v>
      </c>
      <c r="T81" s="13">
        <v>19235</v>
      </c>
    </row>
    <row r="82" spans="1:20">
      <c r="A82" s="2">
        <v>81</v>
      </c>
      <c r="B82" s="9" t="s">
        <v>97</v>
      </c>
      <c r="C82" s="9" t="s">
        <v>5</v>
      </c>
      <c r="D82" s="9" t="s">
        <v>6</v>
      </c>
      <c r="E82" s="9" t="s">
        <v>7</v>
      </c>
      <c r="F82" s="9" t="s">
        <v>145</v>
      </c>
      <c r="G82" s="16">
        <v>2000</v>
      </c>
      <c r="H82" s="16" t="s">
        <v>18</v>
      </c>
      <c r="I82" s="20" t="s">
        <v>144</v>
      </c>
      <c r="J82" s="21" t="s">
        <v>423</v>
      </c>
      <c r="K82" s="7"/>
      <c r="L82" s="7"/>
      <c r="M82" s="13">
        <v>50000</v>
      </c>
      <c r="N82" s="7">
        <v>330</v>
      </c>
      <c r="O82" s="7">
        <v>32</v>
      </c>
      <c r="P82" s="7">
        <v>220</v>
      </c>
      <c r="Q82" s="7">
        <v>4</v>
      </c>
      <c r="R82" s="29">
        <f t="shared" si="3"/>
        <v>195.55555555555554</v>
      </c>
      <c r="S82" s="26">
        <f t="shared" si="2"/>
        <v>0.15</v>
      </c>
      <c r="T82" s="13">
        <v>7500</v>
      </c>
    </row>
    <row r="83" spans="1:20">
      <c r="A83" s="2">
        <v>82</v>
      </c>
      <c r="B83" s="9" t="s">
        <v>97</v>
      </c>
      <c r="C83" s="9" t="s">
        <v>5</v>
      </c>
      <c r="D83" s="9" t="s">
        <v>6</v>
      </c>
      <c r="E83" s="9" t="s">
        <v>7</v>
      </c>
      <c r="F83" s="9" t="s">
        <v>147</v>
      </c>
      <c r="G83" s="16">
        <v>2005</v>
      </c>
      <c r="H83" s="16" t="s">
        <v>18</v>
      </c>
      <c r="I83" s="20" t="s">
        <v>146</v>
      </c>
      <c r="J83" s="21" t="s">
        <v>426</v>
      </c>
      <c r="K83" s="7"/>
      <c r="L83" s="7"/>
      <c r="M83" s="13">
        <v>131575</v>
      </c>
      <c r="N83" s="7">
        <v>400</v>
      </c>
      <c r="O83" s="7">
        <v>33</v>
      </c>
      <c r="P83" s="7">
        <v>230</v>
      </c>
      <c r="Q83" s="7">
        <v>4</v>
      </c>
      <c r="R83" s="29">
        <f t="shared" si="3"/>
        <v>204.44444444444446</v>
      </c>
      <c r="S83" s="26">
        <f t="shared" si="2"/>
        <v>7.6002280068402053E-2</v>
      </c>
      <c r="T83" s="13">
        <v>10000</v>
      </c>
    </row>
    <row r="84" spans="1:20">
      <c r="A84" s="2">
        <v>83</v>
      </c>
      <c r="B84" s="9" t="s">
        <v>97</v>
      </c>
      <c r="C84" s="9" t="s">
        <v>5</v>
      </c>
      <c r="D84" s="9" t="s">
        <v>6</v>
      </c>
      <c r="E84" s="9" t="s">
        <v>7</v>
      </c>
      <c r="F84" s="9" t="s">
        <v>149</v>
      </c>
      <c r="G84" s="16">
        <v>2008</v>
      </c>
      <c r="H84" s="16" t="s">
        <v>18</v>
      </c>
      <c r="I84" s="20" t="s">
        <v>148</v>
      </c>
      <c r="J84" s="21" t="s">
        <v>423</v>
      </c>
      <c r="K84" s="7"/>
      <c r="L84" s="7"/>
      <c r="M84" s="13">
        <v>99500</v>
      </c>
      <c r="N84" s="7">
        <v>420</v>
      </c>
      <c r="O84" s="7">
        <v>33</v>
      </c>
      <c r="P84" s="7">
        <v>220</v>
      </c>
      <c r="Q84" s="7">
        <v>4</v>
      </c>
      <c r="R84" s="29">
        <f t="shared" si="3"/>
        <v>195.55555555555554</v>
      </c>
      <c r="S84" s="26">
        <f t="shared" si="2"/>
        <v>0.23086432160804021</v>
      </c>
      <c r="T84" s="13">
        <v>22971</v>
      </c>
    </row>
    <row r="85" spans="1:20">
      <c r="A85" s="2">
        <v>84</v>
      </c>
      <c r="B85" s="9" t="s">
        <v>97</v>
      </c>
      <c r="C85" s="9" t="s">
        <v>5</v>
      </c>
      <c r="D85" s="9" t="s">
        <v>6</v>
      </c>
      <c r="E85" s="9" t="s">
        <v>7</v>
      </c>
      <c r="F85" s="9" t="s">
        <v>369</v>
      </c>
      <c r="G85" s="16">
        <v>2010</v>
      </c>
      <c r="H85" s="16"/>
      <c r="I85" s="20" t="s">
        <v>150</v>
      </c>
      <c r="J85" s="21" t="s">
        <v>426</v>
      </c>
      <c r="K85" s="7"/>
      <c r="L85" s="7"/>
      <c r="M85" s="13">
        <v>32000</v>
      </c>
      <c r="N85" s="7">
        <v>480</v>
      </c>
      <c r="O85" s="7">
        <v>32</v>
      </c>
      <c r="P85" s="7">
        <v>230</v>
      </c>
      <c r="Q85" s="7">
        <v>8</v>
      </c>
      <c r="R85" s="29">
        <f t="shared" si="3"/>
        <v>178.88888888888889</v>
      </c>
      <c r="S85" s="26">
        <f t="shared" si="2"/>
        <v>0.11874999999999999</v>
      </c>
      <c r="T85" s="13">
        <v>3800</v>
      </c>
    </row>
    <row r="86" spans="1:20">
      <c r="A86" s="2">
        <v>85</v>
      </c>
      <c r="B86" s="9" t="s">
        <v>97</v>
      </c>
      <c r="C86" s="9" t="s">
        <v>5</v>
      </c>
      <c r="D86" s="9" t="s">
        <v>6</v>
      </c>
      <c r="E86" s="9" t="s">
        <v>7</v>
      </c>
      <c r="F86" s="9" t="s">
        <v>152</v>
      </c>
      <c r="G86" s="16">
        <v>2010</v>
      </c>
      <c r="H86" s="16" t="s">
        <v>18</v>
      </c>
      <c r="I86" s="20" t="s">
        <v>151</v>
      </c>
      <c r="J86" s="21" t="s">
        <v>426</v>
      </c>
      <c r="K86" s="7"/>
      <c r="L86" s="7"/>
      <c r="M86" s="13">
        <v>52170</v>
      </c>
      <c r="N86" s="7">
        <v>500</v>
      </c>
      <c r="O86" s="7">
        <v>38</v>
      </c>
      <c r="P86" s="7">
        <v>250</v>
      </c>
      <c r="Q86" s="7">
        <v>6</v>
      </c>
      <c r="R86" s="29">
        <f t="shared" si="3"/>
        <v>208.33333333333334</v>
      </c>
      <c r="S86" s="26">
        <f t="shared" si="2"/>
        <v>0.15600920069005175</v>
      </c>
      <c r="T86" s="13">
        <v>8139</v>
      </c>
    </row>
    <row r="87" spans="1:20">
      <c r="A87" s="2">
        <v>86</v>
      </c>
      <c r="B87" s="9" t="s">
        <v>97</v>
      </c>
      <c r="C87" s="9" t="s">
        <v>5</v>
      </c>
      <c r="D87" s="9" t="s">
        <v>6</v>
      </c>
      <c r="E87" s="9" t="s">
        <v>7</v>
      </c>
      <c r="F87" s="9" t="s">
        <v>370</v>
      </c>
      <c r="G87" s="16">
        <v>2011</v>
      </c>
      <c r="H87" s="16"/>
      <c r="I87" s="20" t="s">
        <v>153</v>
      </c>
      <c r="J87" s="21" t="s">
        <v>426</v>
      </c>
      <c r="K87" s="7"/>
      <c r="L87" s="7"/>
      <c r="M87" s="13">
        <v>46000</v>
      </c>
      <c r="N87" s="7">
        <v>480</v>
      </c>
      <c r="O87" s="7">
        <v>32</v>
      </c>
      <c r="P87" s="7">
        <v>240</v>
      </c>
      <c r="Q87" s="7">
        <v>8</v>
      </c>
      <c r="R87" s="29">
        <f t="shared" si="3"/>
        <v>186.66666666666666</v>
      </c>
      <c r="S87" s="26">
        <f t="shared" si="2"/>
        <v>0.10217391304347827</v>
      </c>
      <c r="T87" s="13">
        <v>4700</v>
      </c>
    </row>
    <row r="88" spans="1:20">
      <c r="A88" s="2">
        <v>87</v>
      </c>
      <c r="B88" s="9" t="s">
        <v>97</v>
      </c>
      <c r="C88" s="9" t="s">
        <v>5</v>
      </c>
      <c r="D88" s="9" t="s">
        <v>6</v>
      </c>
      <c r="E88" s="9" t="s">
        <v>7</v>
      </c>
      <c r="F88" s="9" t="s">
        <v>154</v>
      </c>
      <c r="G88" s="16">
        <v>2012</v>
      </c>
      <c r="H88" s="16" t="s">
        <v>18</v>
      </c>
      <c r="I88" s="20" t="s">
        <v>398</v>
      </c>
      <c r="J88" s="21" t="s">
        <v>421</v>
      </c>
      <c r="K88" s="7"/>
      <c r="L88" s="7"/>
      <c r="M88" s="13">
        <v>45013</v>
      </c>
      <c r="N88" s="7">
        <v>340</v>
      </c>
      <c r="O88" s="7">
        <v>32</v>
      </c>
      <c r="P88" s="7">
        <v>225</v>
      </c>
      <c r="Q88" s="7">
        <v>3</v>
      </c>
      <c r="R88" s="29">
        <f t="shared" si="3"/>
        <v>206.25</v>
      </c>
      <c r="S88" s="26">
        <f t="shared" si="2"/>
        <v>0.13995956723613179</v>
      </c>
      <c r="T88" s="13">
        <v>6300</v>
      </c>
    </row>
    <row r="89" spans="1:20">
      <c r="A89" s="2">
        <v>88</v>
      </c>
      <c r="B89" s="9" t="s">
        <v>97</v>
      </c>
      <c r="C89" s="9" t="s">
        <v>5</v>
      </c>
      <c r="D89" s="9" t="s">
        <v>6</v>
      </c>
      <c r="E89" s="9" t="s">
        <v>7</v>
      </c>
      <c r="F89" s="9" t="s">
        <v>378</v>
      </c>
      <c r="G89" s="16">
        <v>2013</v>
      </c>
      <c r="H89" s="16"/>
      <c r="I89" s="20" t="s">
        <v>155</v>
      </c>
      <c r="J89" s="21" t="s">
        <v>426</v>
      </c>
      <c r="K89" s="7"/>
      <c r="L89" s="7"/>
      <c r="M89" s="13">
        <v>48566</v>
      </c>
      <c r="N89" s="7">
        <v>300</v>
      </c>
      <c r="O89" s="7">
        <v>33</v>
      </c>
      <c r="P89" s="7">
        <v>240</v>
      </c>
      <c r="Q89" s="7">
        <v>3</v>
      </c>
      <c r="R89" s="29">
        <f t="shared" si="3"/>
        <v>220</v>
      </c>
      <c r="S89" s="26">
        <f t="shared" si="2"/>
        <v>0.76040851624593342</v>
      </c>
      <c r="T89" s="13">
        <v>36930</v>
      </c>
    </row>
    <row r="90" spans="1:20">
      <c r="A90" s="2">
        <v>89</v>
      </c>
      <c r="B90" s="9" t="s">
        <v>97</v>
      </c>
      <c r="C90" s="9" t="s">
        <v>5</v>
      </c>
      <c r="D90" s="9" t="s">
        <v>6</v>
      </c>
      <c r="E90" s="9" t="s">
        <v>7</v>
      </c>
      <c r="F90" s="9" t="s">
        <v>157</v>
      </c>
      <c r="G90" s="16">
        <v>2014</v>
      </c>
      <c r="H90" s="16"/>
      <c r="I90" s="20" t="s">
        <v>156</v>
      </c>
      <c r="J90" s="21" t="s">
        <v>421</v>
      </c>
      <c r="K90" s="7"/>
      <c r="L90" s="7"/>
      <c r="M90" s="13">
        <v>55618</v>
      </c>
      <c r="N90" s="7">
        <v>330</v>
      </c>
      <c r="O90" s="7">
        <v>30</v>
      </c>
      <c r="P90" s="7">
        <v>260</v>
      </c>
      <c r="Q90" s="7">
        <v>3</v>
      </c>
      <c r="R90" s="29">
        <f t="shared" si="3"/>
        <v>238.33333333333334</v>
      </c>
      <c r="S90" s="26">
        <f t="shared" si="2"/>
        <v>0.2</v>
      </c>
      <c r="T90" s="13">
        <v>11123.6</v>
      </c>
    </row>
    <row r="91" spans="1:20">
      <c r="A91" s="2">
        <v>90</v>
      </c>
      <c r="B91" s="9" t="s">
        <v>97</v>
      </c>
      <c r="C91" s="9" t="s">
        <v>5</v>
      </c>
      <c r="D91" s="9" t="s">
        <v>6</v>
      </c>
      <c r="E91" s="9" t="s">
        <v>7</v>
      </c>
      <c r="F91" s="9" t="s">
        <v>371</v>
      </c>
      <c r="G91" s="16">
        <v>2015</v>
      </c>
      <c r="H91" s="16"/>
      <c r="I91" s="20" t="s">
        <v>158</v>
      </c>
      <c r="J91" s="21" t="s">
        <v>426</v>
      </c>
      <c r="K91" s="7"/>
      <c r="L91" s="7"/>
      <c r="M91" s="13">
        <v>47000</v>
      </c>
      <c r="N91" s="7">
        <v>360</v>
      </c>
      <c r="O91" s="7">
        <v>26</v>
      </c>
      <c r="P91" s="7">
        <v>250</v>
      </c>
      <c r="Q91" s="7">
        <v>3</v>
      </c>
      <c r="R91" s="29">
        <f t="shared" si="3"/>
        <v>229.16666666666666</v>
      </c>
      <c r="S91" s="26">
        <f t="shared" si="2"/>
        <v>4.0382978723404253E-2</v>
      </c>
      <c r="T91" s="13">
        <v>1898</v>
      </c>
    </row>
    <row r="92" spans="1:20">
      <c r="A92" s="2">
        <v>91</v>
      </c>
      <c r="B92" s="9" t="s">
        <v>97</v>
      </c>
      <c r="C92" s="9" t="s">
        <v>5</v>
      </c>
      <c r="D92" s="9" t="s">
        <v>6</v>
      </c>
      <c r="E92" s="9" t="s">
        <v>7</v>
      </c>
      <c r="F92" s="9" t="s">
        <v>160</v>
      </c>
      <c r="G92" s="16">
        <v>2016</v>
      </c>
      <c r="H92" s="16" t="s">
        <v>18</v>
      </c>
      <c r="I92" s="20" t="s">
        <v>159</v>
      </c>
      <c r="J92" s="21" t="s">
        <v>421</v>
      </c>
      <c r="K92" s="7"/>
      <c r="L92" s="7"/>
      <c r="M92" s="13">
        <v>87763</v>
      </c>
      <c r="N92" s="7">
        <v>290</v>
      </c>
      <c r="O92" s="7">
        <v>30</v>
      </c>
      <c r="P92" s="7">
        <v>200</v>
      </c>
      <c r="Q92" s="7">
        <v>4</v>
      </c>
      <c r="R92" s="29">
        <f t="shared" si="3"/>
        <v>177.77777777777777</v>
      </c>
      <c r="S92" s="26">
        <f t="shared" si="2"/>
        <v>0.22788646696215945</v>
      </c>
      <c r="T92" s="13">
        <v>20000</v>
      </c>
    </row>
    <row r="93" spans="1:20">
      <c r="A93" s="2">
        <v>92</v>
      </c>
      <c r="B93" s="9" t="s">
        <v>97</v>
      </c>
      <c r="C93" s="9" t="s">
        <v>12</v>
      </c>
      <c r="D93" s="9" t="s">
        <v>6</v>
      </c>
      <c r="E93" s="9" t="s">
        <v>7</v>
      </c>
      <c r="F93" s="9" t="s">
        <v>162</v>
      </c>
      <c r="G93" s="16">
        <v>2016</v>
      </c>
      <c r="H93" s="16" t="s">
        <v>13</v>
      </c>
      <c r="I93" s="20" t="s">
        <v>161</v>
      </c>
      <c r="J93" s="21" t="s">
        <v>426</v>
      </c>
      <c r="K93" s="7"/>
      <c r="L93" s="7"/>
      <c r="M93" s="13">
        <v>100658</v>
      </c>
      <c r="N93" s="7">
        <v>500</v>
      </c>
      <c r="O93" s="7">
        <v>36</v>
      </c>
      <c r="P93" s="7">
        <v>310</v>
      </c>
      <c r="Q93" s="7">
        <v>4</v>
      </c>
      <c r="R93" s="29">
        <f t="shared" si="3"/>
        <v>275.55555555555554</v>
      </c>
      <c r="S93" s="26">
        <f t="shared" si="2"/>
        <v>0.33777742454648413</v>
      </c>
      <c r="T93" s="13">
        <v>34000</v>
      </c>
    </row>
    <row r="94" spans="1:20">
      <c r="A94" s="2">
        <v>93</v>
      </c>
      <c r="B94" s="9" t="s">
        <v>97</v>
      </c>
      <c r="C94" s="9" t="s">
        <v>5</v>
      </c>
      <c r="D94" s="9" t="s">
        <v>6</v>
      </c>
      <c r="E94" s="9" t="s">
        <v>7</v>
      </c>
      <c r="F94" s="9" t="s">
        <v>361</v>
      </c>
      <c r="G94" s="16">
        <v>2015</v>
      </c>
      <c r="H94" s="16" t="s">
        <v>13</v>
      </c>
      <c r="I94" s="20" t="s">
        <v>399</v>
      </c>
      <c r="J94" s="21" t="s">
        <v>426</v>
      </c>
      <c r="K94" s="7"/>
      <c r="L94" s="7"/>
      <c r="M94" s="13">
        <v>67000</v>
      </c>
      <c r="N94" s="7">
        <v>370</v>
      </c>
      <c r="O94" s="7">
        <v>37.1</v>
      </c>
      <c r="P94" s="7">
        <v>240</v>
      </c>
      <c r="Q94" s="7">
        <v>5</v>
      </c>
      <c r="R94" s="29">
        <f t="shared" si="3"/>
        <v>206.66666666666666</v>
      </c>
      <c r="S94" s="26">
        <f t="shared" si="2"/>
        <v>0.17882089552238806</v>
      </c>
      <c r="T94" s="13">
        <v>11981</v>
      </c>
    </row>
    <row r="95" spans="1:20">
      <c r="A95" s="2">
        <v>94</v>
      </c>
      <c r="B95" s="9" t="s">
        <v>97</v>
      </c>
      <c r="C95" s="9" t="s">
        <v>5</v>
      </c>
      <c r="D95" s="9" t="s">
        <v>6</v>
      </c>
      <c r="E95" s="9" t="s">
        <v>7</v>
      </c>
      <c r="F95" s="9" t="s">
        <v>164</v>
      </c>
      <c r="G95" s="16">
        <v>2017</v>
      </c>
      <c r="H95" s="16" t="s">
        <v>13</v>
      </c>
      <c r="I95" s="20" t="s">
        <v>163</v>
      </c>
      <c r="J95" s="21" t="s">
        <v>426</v>
      </c>
      <c r="K95" s="7"/>
      <c r="L95" s="7"/>
      <c r="M95" s="13">
        <v>39431</v>
      </c>
      <c r="N95" s="7">
        <v>435</v>
      </c>
      <c r="O95" s="7">
        <v>31</v>
      </c>
      <c r="P95" s="7">
        <v>260</v>
      </c>
      <c r="Q95" s="7">
        <v>6</v>
      </c>
      <c r="R95" s="29">
        <f t="shared" si="3"/>
        <v>216.66666666666666</v>
      </c>
      <c r="S95" s="26">
        <f t="shared" si="2"/>
        <v>0.30432908117978241</v>
      </c>
      <c r="T95" s="13">
        <v>12000</v>
      </c>
    </row>
    <row r="96" spans="1:20">
      <c r="A96" s="2">
        <v>95</v>
      </c>
      <c r="B96" s="9" t="s">
        <v>97</v>
      </c>
      <c r="C96" s="9" t="s">
        <v>5</v>
      </c>
      <c r="D96" s="9" t="s">
        <v>6</v>
      </c>
      <c r="E96" s="9" t="s">
        <v>7</v>
      </c>
      <c r="F96" s="9" t="s">
        <v>165</v>
      </c>
      <c r="G96" s="16">
        <v>2019</v>
      </c>
      <c r="H96" s="16"/>
      <c r="I96" s="20" t="s">
        <v>400</v>
      </c>
      <c r="J96" s="21" t="s">
        <v>426</v>
      </c>
      <c r="K96" s="7"/>
      <c r="L96" s="7"/>
      <c r="M96" s="13">
        <v>34273</v>
      </c>
      <c r="N96" s="7">
        <v>340</v>
      </c>
      <c r="O96" s="7">
        <v>36</v>
      </c>
      <c r="P96" s="7">
        <v>200</v>
      </c>
      <c r="Q96" s="7">
        <v>6</v>
      </c>
      <c r="R96" s="29">
        <f t="shared" si="3"/>
        <v>166.66666666666666</v>
      </c>
      <c r="S96" s="26">
        <f t="shared" si="2"/>
        <v>0.14588743325649928</v>
      </c>
      <c r="T96" s="13">
        <v>5000</v>
      </c>
    </row>
    <row r="97" spans="1:20">
      <c r="A97" s="2">
        <v>96</v>
      </c>
      <c r="B97" s="9" t="s">
        <v>97</v>
      </c>
      <c r="C97" s="9" t="s">
        <v>5</v>
      </c>
      <c r="D97" s="9" t="s">
        <v>6</v>
      </c>
      <c r="E97" s="9" t="s">
        <v>7</v>
      </c>
      <c r="F97" s="9" t="s">
        <v>360</v>
      </c>
      <c r="G97" s="16">
        <v>2020</v>
      </c>
      <c r="H97" s="16"/>
      <c r="I97" s="20" t="s">
        <v>166</v>
      </c>
      <c r="J97" s="21" t="s">
        <v>421</v>
      </c>
      <c r="K97" s="7"/>
      <c r="L97" s="7"/>
      <c r="M97" s="13">
        <v>40000</v>
      </c>
      <c r="N97" s="7">
        <v>480</v>
      </c>
      <c r="O97" s="7">
        <v>38</v>
      </c>
      <c r="P97" s="7">
        <v>200</v>
      </c>
      <c r="Q97" s="7">
        <v>0</v>
      </c>
      <c r="R97" s="29">
        <f t="shared" si="3"/>
        <v>200</v>
      </c>
      <c r="S97" s="26">
        <f t="shared" si="2"/>
        <v>1</v>
      </c>
      <c r="T97" s="13">
        <v>40000</v>
      </c>
    </row>
    <row r="98" spans="1:20">
      <c r="A98" s="2">
        <v>97</v>
      </c>
      <c r="B98" s="9" t="s">
        <v>97</v>
      </c>
      <c r="C98" s="9" t="s">
        <v>5</v>
      </c>
      <c r="D98" s="9" t="s">
        <v>6</v>
      </c>
      <c r="E98" s="9" t="s">
        <v>7</v>
      </c>
      <c r="F98" s="9" t="s">
        <v>167</v>
      </c>
      <c r="G98" s="16">
        <v>2022</v>
      </c>
      <c r="H98" s="16" t="s">
        <v>13</v>
      </c>
      <c r="I98" s="20" t="s">
        <v>401</v>
      </c>
      <c r="J98" s="21" t="s">
        <v>427</v>
      </c>
      <c r="K98" s="7"/>
      <c r="L98" s="7"/>
      <c r="M98" s="13">
        <v>65000</v>
      </c>
      <c r="N98" s="7">
        <v>500</v>
      </c>
      <c r="O98" s="7">
        <v>36</v>
      </c>
      <c r="P98" s="7">
        <v>250</v>
      </c>
      <c r="Q98" s="7">
        <v>7</v>
      </c>
      <c r="R98" s="29">
        <f t="shared" si="3"/>
        <v>201.38888888888889</v>
      </c>
      <c r="S98" s="26">
        <f t="shared" si="2"/>
        <v>0.48073846153846156</v>
      </c>
      <c r="T98" s="13">
        <v>31248</v>
      </c>
    </row>
    <row r="99" spans="1:20">
      <c r="A99" s="2">
        <v>98</v>
      </c>
      <c r="B99" s="9" t="s">
        <v>169</v>
      </c>
      <c r="C99" s="9" t="s">
        <v>5</v>
      </c>
      <c r="D99" s="9" t="s">
        <v>6</v>
      </c>
      <c r="E99" s="9" t="s">
        <v>139</v>
      </c>
      <c r="F99" s="9" t="s">
        <v>170</v>
      </c>
      <c r="G99" s="16">
        <v>2002</v>
      </c>
      <c r="H99" s="16" t="s">
        <v>18</v>
      </c>
      <c r="I99" s="20" t="s">
        <v>168</v>
      </c>
      <c r="J99" s="21" t="s">
        <v>428</v>
      </c>
      <c r="K99" s="7"/>
      <c r="L99" s="7"/>
      <c r="M99" s="13">
        <v>49000</v>
      </c>
      <c r="N99" s="7">
        <v>550</v>
      </c>
      <c r="O99" s="7">
        <v>29</v>
      </c>
      <c r="P99" s="7">
        <v>390</v>
      </c>
      <c r="Q99" s="7">
        <v>5</v>
      </c>
      <c r="R99" s="29">
        <f t="shared" si="3"/>
        <v>335.83333333333331</v>
      </c>
      <c r="S99" s="26">
        <f t="shared" si="2"/>
        <v>0.2439795918367347</v>
      </c>
      <c r="T99" s="13">
        <v>11955</v>
      </c>
    </row>
    <row r="100" spans="1:20">
      <c r="A100" s="2">
        <v>99</v>
      </c>
      <c r="B100" s="9" t="s">
        <v>169</v>
      </c>
      <c r="C100" s="9" t="s">
        <v>12</v>
      </c>
      <c r="D100" s="9" t="s">
        <v>6</v>
      </c>
      <c r="E100" s="9" t="s">
        <v>139</v>
      </c>
      <c r="F100" s="9" t="s">
        <v>172</v>
      </c>
      <c r="G100" s="16">
        <v>2004</v>
      </c>
      <c r="H100" s="16" t="s">
        <v>18</v>
      </c>
      <c r="I100" s="20" t="s">
        <v>171</v>
      </c>
      <c r="J100" s="21" t="s">
        <v>428</v>
      </c>
      <c r="K100" s="7"/>
      <c r="L100" s="7"/>
      <c r="M100" s="13">
        <v>95000</v>
      </c>
      <c r="N100" s="7">
        <v>550</v>
      </c>
      <c r="O100" s="7">
        <v>29</v>
      </c>
      <c r="P100" s="7">
        <v>390</v>
      </c>
      <c r="Q100" s="7">
        <v>5</v>
      </c>
      <c r="R100" s="29">
        <f t="shared" si="3"/>
        <v>335.83333333333331</v>
      </c>
      <c r="S100" s="26">
        <f t="shared" si="2"/>
        <v>0.12334736842105264</v>
      </c>
      <c r="T100" s="13">
        <v>11718</v>
      </c>
    </row>
    <row r="101" spans="1:20">
      <c r="A101" s="2">
        <v>100</v>
      </c>
      <c r="B101" s="9" t="s">
        <v>169</v>
      </c>
      <c r="C101" s="9" t="s">
        <v>5</v>
      </c>
      <c r="D101" s="9" t="s">
        <v>6</v>
      </c>
      <c r="E101" s="9" t="s">
        <v>139</v>
      </c>
      <c r="F101" s="9" t="s">
        <v>174</v>
      </c>
      <c r="G101" s="16">
        <v>2004</v>
      </c>
      <c r="H101" s="16" t="s">
        <v>18</v>
      </c>
      <c r="I101" s="20" t="s">
        <v>173</v>
      </c>
      <c r="J101" s="21" t="s">
        <v>428</v>
      </c>
      <c r="K101" s="7"/>
      <c r="L101" s="7"/>
      <c r="M101" s="13">
        <v>45000</v>
      </c>
      <c r="N101" s="7">
        <v>480</v>
      </c>
      <c r="O101" s="7">
        <v>35</v>
      </c>
      <c r="P101" s="7">
        <v>280</v>
      </c>
      <c r="Q101" s="7">
        <v>5</v>
      </c>
      <c r="R101" s="29">
        <f t="shared" si="3"/>
        <v>241.11111111111111</v>
      </c>
      <c r="S101" s="26">
        <f t="shared" si="2"/>
        <v>0.31568888888888891</v>
      </c>
      <c r="T101" s="13">
        <v>14206</v>
      </c>
    </row>
    <row r="102" spans="1:20">
      <c r="A102" s="2">
        <v>101</v>
      </c>
      <c r="B102" s="9" t="s">
        <v>169</v>
      </c>
      <c r="C102" s="9" t="s">
        <v>5</v>
      </c>
      <c r="D102" s="9" t="s">
        <v>6</v>
      </c>
      <c r="E102" s="9" t="s">
        <v>139</v>
      </c>
      <c r="F102" s="9" t="s">
        <v>176</v>
      </c>
      <c r="G102" s="16">
        <v>2005</v>
      </c>
      <c r="H102" s="16"/>
      <c r="I102" s="20" t="s">
        <v>175</v>
      </c>
      <c r="J102" s="21" t="s">
        <v>428</v>
      </c>
      <c r="K102" s="7"/>
      <c r="L102" s="7"/>
      <c r="M102" s="13">
        <v>124500</v>
      </c>
      <c r="N102" s="7">
        <v>360</v>
      </c>
      <c r="O102" s="7">
        <v>35</v>
      </c>
      <c r="P102" s="7">
        <v>200</v>
      </c>
      <c r="Q102" s="7">
        <v>5</v>
      </c>
      <c r="R102" s="29">
        <f t="shared" si="3"/>
        <v>172.22222222222223</v>
      </c>
      <c r="S102" s="26">
        <f t="shared" si="2"/>
        <v>5.6248995983935741E-2</v>
      </c>
      <c r="T102" s="13">
        <v>7003</v>
      </c>
    </row>
    <row r="103" spans="1:20">
      <c r="A103" s="2">
        <v>102</v>
      </c>
      <c r="B103" s="9" t="s">
        <v>169</v>
      </c>
      <c r="C103" s="9" t="s">
        <v>5</v>
      </c>
      <c r="D103" s="9" t="s">
        <v>6</v>
      </c>
      <c r="E103" s="9" t="s">
        <v>139</v>
      </c>
      <c r="F103" s="9" t="s">
        <v>354</v>
      </c>
      <c r="G103" s="16">
        <v>2005</v>
      </c>
      <c r="H103" s="16"/>
      <c r="I103" s="20" t="s">
        <v>177</v>
      </c>
      <c r="J103" s="21" t="s">
        <v>428</v>
      </c>
      <c r="K103" s="7"/>
      <c r="L103" s="7"/>
      <c r="M103" s="13">
        <v>64000</v>
      </c>
      <c r="N103" s="7">
        <v>360</v>
      </c>
      <c r="O103" s="7">
        <v>45</v>
      </c>
      <c r="P103" s="7">
        <v>220</v>
      </c>
      <c r="Q103" s="7">
        <v>6</v>
      </c>
      <c r="R103" s="29">
        <f t="shared" si="3"/>
        <v>183.33333333333334</v>
      </c>
      <c r="S103" s="26">
        <f t="shared" si="2"/>
        <v>9.1593750000000002E-2</v>
      </c>
      <c r="T103" s="13">
        <v>5862</v>
      </c>
    </row>
    <row r="104" spans="1:20">
      <c r="A104" s="2">
        <v>103</v>
      </c>
      <c r="B104" s="9" t="s">
        <v>169</v>
      </c>
      <c r="C104" s="9" t="s">
        <v>5</v>
      </c>
      <c r="D104" s="9" t="s">
        <v>6</v>
      </c>
      <c r="E104" s="9" t="s">
        <v>139</v>
      </c>
      <c r="F104" s="9" t="s">
        <v>179</v>
      </c>
      <c r="G104" s="16">
        <v>2009</v>
      </c>
      <c r="H104" s="16"/>
      <c r="I104" s="20" t="s">
        <v>178</v>
      </c>
      <c r="J104" s="21" t="s">
        <v>428</v>
      </c>
      <c r="K104" s="7"/>
      <c r="L104" s="7"/>
      <c r="M104" s="13">
        <v>25000</v>
      </c>
      <c r="N104" s="7">
        <v>420</v>
      </c>
      <c r="O104" s="7">
        <v>35</v>
      </c>
      <c r="P104" s="7">
        <v>310</v>
      </c>
      <c r="Q104" s="7">
        <v>3</v>
      </c>
      <c r="R104" s="29">
        <f t="shared" si="3"/>
        <v>284.16666666666669</v>
      </c>
      <c r="S104" s="26">
        <f t="shared" si="2"/>
        <v>0</v>
      </c>
      <c r="T104" s="13">
        <v>0</v>
      </c>
    </row>
    <row r="105" spans="1:20">
      <c r="A105" s="2">
        <v>104</v>
      </c>
      <c r="B105" s="9" t="s">
        <v>169</v>
      </c>
      <c r="C105" s="9" t="s">
        <v>5</v>
      </c>
      <c r="D105" s="9" t="s">
        <v>6</v>
      </c>
      <c r="E105" s="9" t="s">
        <v>139</v>
      </c>
      <c r="F105" s="9" t="s">
        <v>181</v>
      </c>
      <c r="G105" s="16">
        <v>2014</v>
      </c>
      <c r="H105" s="16"/>
      <c r="I105" s="20" t="s">
        <v>180</v>
      </c>
      <c r="J105" s="21" t="s">
        <v>428</v>
      </c>
      <c r="K105" s="7"/>
      <c r="L105" s="7"/>
      <c r="M105" s="13">
        <v>38498</v>
      </c>
      <c r="N105" s="7">
        <v>235</v>
      </c>
      <c r="O105" s="7">
        <v>35</v>
      </c>
      <c r="P105" s="7">
        <v>200</v>
      </c>
      <c r="Q105" s="7">
        <v>4</v>
      </c>
      <c r="R105" s="29">
        <f t="shared" si="3"/>
        <v>177.77777777777777</v>
      </c>
      <c r="S105" s="26">
        <f t="shared" si="2"/>
        <v>3.1404228791106032E-3</v>
      </c>
      <c r="T105" s="13">
        <v>120.9</v>
      </c>
    </row>
    <row r="106" spans="1:20">
      <c r="A106" s="2">
        <v>105</v>
      </c>
      <c r="B106" s="9" t="s">
        <v>169</v>
      </c>
      <c r="C106" s="9" t="s">
        <v>141</v>
      </c>
      <c r="D106" s="9" t="s">
        <v>6</v>
      </c>
      <c r="E106" s="9" t="s">
        <v>139</v>
      </c>
      <c r="F106" s="9" t="s">
        <v>182</v>
      </c>
      <c r="G106" s="16" t="e">
        <v>#N/A</v>
      </c>
      <c r="H106" s="16"/>
      <c r="I106" s="20" t="s">
        <v>402</v>
      </c>
      <c r="J106" s="21" t="s">
        <v>429</v>
      </c>
      <c r="K106" s="7"/>
      <c r="L106" s="7"/>
      <c r="M106" s="13">
        <v>166433</v>
      </c>
      <c r="N106" s="7">
        <v>365</v>
      </c>
      <c r="O106" s="7">
        <v>30</v>
      </c>
      <c r="P106" s="7">
        <v>210</v>
      </c>
      <c r="Q106" s="7">
        <v>4</v>
      </c>
      <c r="R106" s="29">
        <f t="shared" si="3"/>
        <v>186.66666666666666</v>
      </c>
      <c r="S106" s="26">
        <f t="shared" si="2"/>
        <v>0.13939543239621949</v>
      </c>
      <c r="T106" s="13">
        <v>23200</v>
      </c>
    </row>
    <row r="107" spans="1:20">
      <c r="A107" s="2">
        <v>106</v>
      </c>
      <c r="B107" s="9" t="s">
        <v>169</v>
      </c>
      <c r="C107" s="9" t="s">
        <v>12</v>
      </c>
      <c r="D107" s="9" t="s">
        <v>6</v>
      </c>
      <c r="E107" s="9" t="s">
        <v>139</v>
      </c>
      <c r="F107" s="9" t="s">
        <v>184</v>
      </c>
      <c r="G107" s="16">
        <v>2015</v>
      </c>
      <c r="H107" s="16" t="s">
        <v>18</v>
      </c>
      <c r="I107" s="20" t="s">
        <v>183</v>
      </c>
      <c r="J107" s="21" t="s">
        <v>428</v>
      </c>
      <c r="K107" s="7"/>
      <c r="L107" s="7"/>
      <c r="M107" s="13">
        <v>58000</v>
      </c>
      <c r="N107" s="7">
        <v>600</v>
      </c>
      <c r="O107" s="7">
        <v>33</v>
      </c>
      <c r="P107" s="7">
        <v>420</v>
      </c>
      <c r="Q107" s="7">
        <v>4</v>
      </c>
      <c r="R107" s="29">
        <f t="shared" si="3"/>
        <v>373.33333333333331</v>
      </c>
      <c r="S107" s="26">
        <f t="shared" si="2"/>
        <v>2.5862068965517241E-2</v>
      </c>
      <c r="T107" s="13">
        <v>1500</v>
      </c>
    </row>
    <row r="108" spans="1:20">
      <c r="A108" s="2">
        <v>107</v>
      </c>
      <c r="B108" s="9" t="s">
        <v>169</v>
      </c>
      <c r="C108" s="9" t="s">
        <v>5</v>
      </c>
      <c r="D108" s="9" t="s">
        <v>6</v>
      </c>
      <c r="E108" s="9" t="s">
        <v>139</v>
      </c>
      <c r="F108" s="9" t="s">
        <v>186</v>
      </c>
      <c r="G108" s="16">
        <v>2015</v>
      </c>
      <c r="H108" s="16"/>
      <c r="I108" s="20" t="s">
        <v>185</v>
      </c>
      <c r="J108" s="21" t="s">
        <v>429</v>
      </c>
      <c r="K108" s="7"/>
      <c r="L108" s="7"/>
      <c r="M108" s="13">
        <v>51872</v>
      </c>
      <c r="N108" s="7">
        <v>360</v>
      </c>
      <c r="O108" s="7">
        <v>30</v>
      </c>
      <c r="P108" s="7">
        <v>330</v>
      </c>
      <c r="Q108" s="7">
        <v>3</v>
      </c>
      <c r="R108" s="29">
        <f t="shared" si="3"/>
        <v>302.5</v>
      </c>
      <c r="S108" s="26">
        <f t="shared" si="2"/>
        <v>0</v>
      </c>
      <c r="T108" s="13">
        <v>0</v>
      </c>
    </row>
    <row r="109" spans="1:20">
      <c r="A109" s="2">
        <v>108</v>
      </c>
      <c r="B109" s="9" t="s">
        <v>169</v>
      </c>
      <c r="C109" s="9" t="s">
        <v>5</v>
      </c>
      <c r="D109" s="9" t="s">
        <v>6</v>
      </c>
      <c r="E109" s="9" t="s">
        <v>139</v>
      </c>
      <c r="F109" s="9" t="s">
        <v>188</v>
      </c>
      <c r="G109" s="16">
        <v>2016</v>
      </c>
      <c r="H109" s="16"/>
      <c r="I109" s="20" t="s">
        <v>187</v>
      </c>
      <c r="J109" s="21" t="s">
        <v>429</v>
      </c>
      <c r="K109" s="7"/>
      <c r="L109" s="7"/>
      <c r="M109" s="13">
        <v>21632</v>
      </c>
      <c r="N109" s="7">
        <v>390</v>
      </c>
      <c r="O109" s="7">
        <v>25</v>
      </c>
      <c r="P109" s="7">
        <v>243</v>
      </c>
      <c r="Q109" s="7">
        <v>2</v>
      </c>
      <c r="R109" s="29">
        <f t="shared" si="3"/>
        <v>229.5</v>
      </c>
      <c r="S109" s="26">
        <f t="shared" si="2"/>
        <v>0</v>
      </c>
      <c r="T109" s="13">
        <v>0</v>
      </c>
    </row>
    <row r="110" spans="1:20">
      <c r="A110" s="2">
        <v>109</v>
      </c>
      <c r="B110" s="9" t="s">
        <v>169</v>
      </c>
      <c r="C110" s="9" t="s">
        <v>5</v>
      </c>
      <c r="D110" s="9" t="s">
        <v>6</v>
      </c>
      <c r="E110" s="9" t="s">
        <v>139</v>
      </c>
      <c r="F110" s="9" t="s">
        <v>190</v>
      </c>
      <c r="G110" s="16">
        <v>2016</v>
      </c>
      <c r="H110" s="16"/>
      <c r="I110" s="20" t="s">
        <v>189</v>
      </c>
      <c r="J110" s="21" t="s">
        <v>429</v>
      </c>
      <c r="K110" s="7"/>
      <c r="L110" s="7"/>
      <c r="M110" s="13">
        <v>69000</v>
      </c>
      <c r="N110" s="7">
        <v>274</v>
      </c>
      <c r="O110" s="7">
        <v>30</v>
      </c>
      <c r="P110" s="7">
        <v>210</v>
      </c>
      <c r="Q110" s="7">
        <v>4</v>
      </c>
      <c r="R110" s="29">
        <f t="shared" si="3"/>
        <v>186.66666666666666</v>
      </c>
      <c r="S110" s="26">
        <f t="shared" si="2"/>
        <v>0.22942028985507246</v>
      </c>
      <c r="T110" s="13">
        <v>15830</v>
      </c>
    </row>
    <row r="111" spans="1:20">
      <c r="A111" s="2">
        <v>110</v>
      </c>
      <c r="B111" s="9" t="s">
        <v>169</v>
      </c>
      <c r="C111" s="9" t="s">
        <v>5</v>
      </c>
      <c r="D111" s="9" t="s">
        <v>6</v>
      </c>
      <c r="E111" s="9" t="s">
        <v>139</v>
      </c>
      <c r="F111" s="9" t="s">
        <v>192</v>
      </c>
      <c r="G111" s="16">
        <v>2017</v>
      </c>
      <c r="H111" s="16"/>
      <c r="I111" s="20" t="s">
        <v>191</v>
      </c>
      <c r="J111" s="21" t="s">
        <v>429</v>
      </c>
      <c r="K111" s="7"/>
      <c r="L111" s="7"/>
      <c r="M111" s="13">
        <v>54000</v>
      </c>
      <c r="N111" s="7">
        <v>268</v>
      </c>
      <c r="O111" s="7">
        <v>30</v>
      </c>
      <c r="P111" s="7">
        <v>170</v>
      </c>
      <c r="Q111" s="7">
        <v>4</v>
      </c>
      <c r="R111" s="29">
        <f t="shared" si="3"/>
        <v>151.11111111111111</v>
      </c>
      <c r="S111" s="26">
        <f t="shared" si="2"/>
        <v>0.36928703703703702</v>
      </c>
      <c r="T111" s="13">
        <v>19941.5</v>
      </c>
    </row>
    <row r="112" spans="1:20">
      <c r="A112" s="2">
        <v>111</v>
      </c>
      <c r="B112" s="9" t="s">
        <v>169</v>
      </c>
      <c r="C112" s="9" t="s">
        <v>5</v>
      </c>
      <c r="D112" s="9" t="s">
        <v>6</v>
      </c>
      <c r="E112" s="9" t="s">
        <v>139</v>
      </c>
      <c r="F112" s="9" t="s">
        <v>194</v>
      </c>
      <c r="G112" s="16">
        <v>2021</v>
      </c>
      <c r="H112" s="16" t="s">
        <v>13</v>
      </c>
      <c r="I112" s="20" t="s">
        <v>193</v>
      </c>
      <c r="J112" s="21" t="s">
        <v>429</v>
      </c>
      <c r="K112" s="7"/>
      <c r="L112" s="7"/>
      <c r="M112" s="13">
        <v>57400</v>
      </c>
      <c r="N112" s="7">
        <v>550</v>
      </c>
      <c r="O112" s="7">
        <v>36</v>
      </c>
      <c r="P112" s="7">
        <v>360</v>
      </c>
      <c r="Q112" s="7">
        <v>8</v>
      </c>
      <c r="R112" s="29">
        <f t="shared" si="3"/>
        <v>280</v>
      </c>
      <c r="S112" s="26">
        <f t="shared" si="2"/>
        <v>1.7421602787456445E-2</v>
      </c>
      <c r="T112" s="13">
        <v>1000</v>
      </c>
    </row>
    <row r="113" spans="1:20">
      <c r="A113" s="2">
        <v>112</v>
      </c>
      <c r="B113" s="9" t="s">
        <v>169</v>
      </c>
      <c r="C113" s="9" t="s">
        <v>12</v>
      </c>
      <c r="D113" s="9" t="s">
        <v>6</v>
      </c>
      <c r="E113" s="9" t="s">
        <v>139</v>
      </c>
      <c r="F113" s="9" t="s">
        <v>356</v>
      </c>
      <c r="G113" s="16">
        <v>2023</v>
      </c>
      <c r="H113" s="16" t="s">
        <v>13</v>
      </c>
      <c r="I113" s="20" t="s">
        <v>403</v>
      </c>
      <c r="J113" s="21" t="s">
        <v>429</v>
      </c>
      <c r="K113" s="7"/>
      <c r="L113" s="7"/>
      <c r="M113" s="13">
        <v>60000</v>
      </c>
      <c r="N113" s="7">
        <v>500</v>
      </c>
      <c r="O113" s="7">
        <v>36</v>
      </c>
      <c r="P113" s="7">
        <v>330</v>
      </c>
      <c r="Q113" s="7">
        <v>5</v>
      </c>
      <c r="R113" s="29">
        <f t="shared" si="3"/>
        <v>284.16666666666669</v>
      </c>
      <c r="S113" s="26">
        <f t="shared" si="2"/>
        <v>7.116666666666667E-3</v>
      </c>
      <c r="T113" s="13">
        <v>427</v>
      </c>
    </row>
    <row r="114" spans="1:20">
      <c r="A114" s="2">
        <v>113</v>
      </c>
      <c r="B114" s="9" t="s">
        <v>169</v>
      </c>
      <c r="C114" s="9" t="s">
        <v>12</v>
      </c>
      <c r="D114" s="9" t="s">
        <v>6</v>
      </c>
      <c r="E114" s="9" t="s">
        <v>139</v>
      </c>
      <c r="F114" s="9" t="s">
        <v>355</v>
      </c>
      <c r="G114" s="16">
        <v>2023</v>
      </c>
      <c r="H114" s="16" t="s">
        <v>13</v>
      </c>
      <c r="I114" s="20" t="s">
        <v>404</v>
      </c>
      <c r="J114" s="21" t="s">
        <v>429</v>
      </c>
      <c r="K114" s="7"/>
      <c r="L114" s="7"/>
      <c r="M114" s="13">
        <v>60000</v>
      </c>
      <c r="N114" s="7">
        <v>270</v>
      </c>
      <c r="O114" s="7">
        <v>36</v>
      </c>
      <c r="P114" s="7">
        <v>245</v>
      </c>
      <c r="Q114" s="7">
        <v>2</v>
      </c>
      <c r="R114" s="29">
        <f t="shared" si="3"/>
        <v>231.38888888888889</v>
      </c>
      <c r="S114" s="26">
        <f t="shared" si="2"/>
        <v>0.19166666666666668</v>
      </c>
      <c r="T114" s="13">
        <v>11500</v>
      </c>
    </row>
    <row r="115" spans="1:20">
      <c r="A115" s="2">
        <v>114</v>
      </c>
      <c r="B115" s="9" t="s">
        <v>169</v>
      </c>
      <c r="C115" s="9" t="s">
        <v>5</v>
      </c>
      <c r="D115" s="9" t="s">
        <v>6</v>
      </c>
      <c r="E115" s="9" t="s">
        <v>139</v>
      </c>
      <c r="F115" s="9" t="s">
        <v>357</v>
      </c>
      <c r="G115" s="16">
        <v>2023</v>
      </c>
      <c r="H115" s="16"/>
      <c r="I115" s="20" t="s">
        <v>405</v>
      </c>
      <c r="J115" s="21" t="s">
        <v>429</v>
      </c>
      <c r="K115" s="7"/>
      <c r="L115" s="7"/>
      <c r="M115" s="13">
        <v>33000</v>
      </c>
      <c r="N115" s="7">
        <v>340</v>
      </c>
      <c r="O115" s="7">
        <v>36</v>
      </c>
      <c r="P115" s="7">
        <v>340</v>
      </c>
      <c r="Q115" s="7">
        <v>3</v>
      </c>
      <c r="R115" s="29">
        <f t="shared" si="3"/>
        <v>311.66666666666669</v>
      </c>
      <c r="S115" s="26">
        <f t="shared" si="2"/>
        <v>0</v>
      </c>
      <c r="T115" s="13">
        <v>0</v>
      </c>
    </row>
    <row r="116" spans="1:20">
      <c r="A116" s="2">
        <v>115</v>
      </c>
      <c r="B116" s="9" t="s">
        <v>169</v>
      </c>
      <c r="C116" s="9" t="s">
        <v>141</v>
      </c>
      <c r="D116" s="9" t="s">
        <v>6</v>
      </c>
      <c r="E116" s="9" t="s">
        <v>139</v>
      </c>
      <c r="F116" s="9" t="s">
        <v>196</v>
      </c>
      <c r="G116" s="16">
        <v>2009</v>
      </c>
      <c r="H116" s="16"/>
      <c r="I116" s="20" t="s">
        <v>195</v>
      </c>
      <c r="J116" s="21" t="s">
        <v>429</v>
      </c>
      <c r="K116" s="7"/>
      <c r="L116" s="7"/>
      <c r="M116" s="13">
        <v>88786</v>
      </c>
      <c r="N116" s="7">
        <v>300</v>
      </c>
      <c r="O116" s="7">
        <v>30</v>
      </c>
      <c r="P116" s="7">
        <v>210</v>
      </c>
      <c r="Q116" s="7">
        <v>5</v>
      </c>
      <c r="R116" s="29">
        <f t="shared" si="3"/>
        <v>180.83333333333334</v>
      </c>
      <c r="S116" s="26">
        <f t="shared" si="2"/>
        <v>0.23652377627103371</v>
      </c>
      <c r="T116" s="13">
        <v>21000</v>
      </c>
    </row>
    <row r="117" spans="1:20">
      <c r="A117" s="2">
        <v>116</v>
      </c>
      <c r="B117" s="9" t="s">
        <v>169</v>
      </c>
      <c r="C117" s="9" t="s">
        <v>141</v>
      </c>
      <c r="D117" s="9" t="s">
        <v>6</v>
      </c>
      <c r="E117" s="9" t="s">
        <v>139</v>
      </c>
      <c r="F117" s="9" t="s">
        <v>198</v>
      </c>
      <c r="G117" s="16">
        <v>2016</v>
      </c>
      <c r="H117" s="16"/>
      <c r="I117" s="20" t="s">
        <v>197</v>
      </c>
      <c r="J117" s="21" t="s">
        <v>429</v>
      </c>
      <c r="K117" s="7"/>
      <c r="L117" s="7"/>
      <c r="M117" s="13">
        <v>134000</v>
      </c>
      <c r="N117" s="7">
        <v>360</v>
      </c>
      <c r="O117" s="7">
        <v>30</v>
      </c>
      <c r="P117" s="7">
        <v>225</v>
      </c>
      <c r="Q117" s="7">
        <v>5</v>
      </c>
      <c r="R117" s="29">
        <f t="shared" si="3"/>
        <v>193.75</v>
      </c>
      <c r="S117" s="26">
        <f t="shared" si="2"/>
        <v>0.23798507462686566</v>
      </c>
      <c r="T117" s="13">
        <v>31890</v>
      </c>
    </row>
    <row r="118" spans="1:20">
      <c r="A118" s="2">
        <v>117</v>
      </c>
      <c r="B118" s="9" t="s">
        <v>169</v>
      </c>
      <c r="C118" s="9" t="s">
        <v>141</v>
      </c>
      <c r="D118" s="9" t="s">
        <v>6</v>
      </c>
      <c r="E118" s="9" t="s">
        <v>139</v>
      </c>
      <c r="F118" s="9" t="s">
        <v>200</v>
      </c>
      <c r="G118" s="16">
        <v>2021</v>
      </c>
      <c r="H118" s="16"/>
      <c r="I118" s="20" t="s">
        <v>199</v>
      </c>
      <c r="J118" s="21" t="s">
        <v>429</v>
      </c>
      <c r="K118" s="7"/>
      <c r="L118" s="7"/>
      <c r="M118" s="13">
        <v>35000</v>
      </c>
      <c r="N118" s="7">
        <v>360</v>
      </c>
      <c r="O118" s="7">
        <v>30</v>
      </c>
      <c r="P118" s="7">
        <v>270</v>
      </c>
      <c r="Q118" s="7">
        <v>6</v>
      </c>
      <c r="R118" s="29">
        <f t="shared" si="3"/>
        <v>225</v>
      </c>
      <c r="S118" s="26">
        <f t="shared" si="2"/>
        <v>3.1885714285714288E-2</v>
      </c>
      <c r="T118" s="13">
        <v>1116</v>
      </c>
    </row>
    <row r="119" spans="1:20">
      <c r="A119" s="2">
        <v>118</v>
      </c>
      <c r="B119" s="9" t="s">
        <v>169</v>
      </c>
      <c r="C119" s="9" t="s">
        <v>141</v>
      </c>
      <c r="D119" s="9" t="s">
        <v>6</v>
      </c>
      <c r="E119" s="9" t="s">
        <v>139</v>
      </c>
      <c r="F119" s="9" t="s">
        <v>202</v>
      </c>
      <c r="G119" s="16">
        <v>2004</v>
      </c>
      <c r="H119" s="16"/>
      <c r="I119" s="20" t="s">
        <v>201</v>
      </c>
      <c r="J119" s="21" t="s">
        <v>429</v>
      </c>
      <c r="K119" s="7"/>
      <c r="L119" s="7"/>
      <c r="M119" s="13">
        <v>18000</v>
      </c>
      <c r="N119" s="7">
        <v>360</v>
      </c>
      <c r="O119" s="7">
        <v>33</v>
      </c>
      <c r="P119" s="7">
        <v>270</v>
      </c>
      <c r="Q119" s="7">
        <v>5</v>
      </c>
      <c r="R119" s="29">
        <f t="shared" si="3"/>
        <v>232.5</v>
      </c>
      <c r="S119" s="26">
        <f t="shared" si="2"/>
        <v>0</v>
      </c>
      <c r="T119" s="13">
        <v>0</v>
      </c>
    </row>
    <row r="120" spans="1:20">
      <c r="A120" s="2">
        <v>119</v>
      </c>
      <c r="B120" s="9" t="s">
        <v>169</v>
      </c>
      <c r="C120" s="9" t="s">
        <v>141</v>
      </c>
      <c r="D120" s="9" t="s">
        <v>6</v>
      </c>
      <c r="E120" s="9" t="s">
        <v>139</v>
      </c>
      <c r="F120" s="9" t="s">
        <v>204</v>
      </c>
      <c r="G120" s="16">
        <v>2006</v>
      </c>
      <c r="H120" s="16" t="s">
        <v>13</v>
      </c>
      <c r="I120" s="20" t="s">
        <v>203</v>
      </c>
      <c r="J120" s="21" t="s">
        <v>429</v>
      </c>
      <c r="K120" s="7"/>
      <c r="L120" s="7"/>
      <c r="M120" s="13">
        <v>105741</v>
      </c>
      <c r="N120" s="7">
        <v>285</v>
      </c>
      <c r="O120" s="7">
        <v>27</v>
      </c>
      <c r="P120" s="7">
        <v>200</v>
      </c>
      <c r="Q120" s="7">
        <v>5</v>
      </c>
      <c r="R120" s="29">
        <f t="shared" si="3"/>
        <v>172.22222222222223</v>
      </c>
      <c r="S120" s="26">
        <f t="shared" si="2"/>
        <v>5.2959589941460737E-2</v>
      </c>
      <c r="T120" s="13">
        <v>5600</v>
      </c>
    </row>
    <row r="121" spans="1:20">
      <c r="A121" s="2">
        <v>120</v>
      </c>
      <c r="B121" s="9" t="s">
        <v>169</v>
      </c>
      <c r="C121" s="9" t="s">
        <v>141</v>
      </c>
      <c r="D121" s="9" t="s">
        <v>6</v>
      </c>
      <c r="E121" s="9" t="s">
        <v>139</v>
      </c>
      <c r="F121" s="9" t="s">
        <v>206</v>
      </c>
      <c r="G121" s="16">
        <v>2024</v>
      </c>
      <c r="H121" s="16" t="s">
        <v>13</v>
      </c>
      <c r="I121" s="20" t="s">
        <v>205</v>
      </c>
      <c r="J121" s="21" t="s">
        <v>429</v>
      </c>
      <c r="K121" s="7"/>
      <c r="L121" s="7"/>
      <c r="M121" s="13">
        <v>51000</v>
      </c>
      <c r="N121" s="7">
        <v>500</v>
      </c>
      <c r="O121" s="7">
        <v>36</v>
      </c>
      <c r="P121" s="7">
        <v>300</v>
      </c>
      <c r="Q121" s="7">
        <v>6</v>
      </c>
      <c r="R121" s="29">
        <f t="shared" si="3"/>
        <v>250</v>
      </c>
      <c r="S121" s="26">
        <f t="shared" si="2"/>
        <v>0</v>
      </c>
      <c r="T121" s="13">
        <v>0</v>
      </c>
    </row>
    <row r="122" spans="1:20">
      <c r="A122" s="2">
        <v>121</v>
      </c>
      <c r="B122" s="9" t="s">
        <v>169</v>
      </c>
      <c r="C122" s="9" t="s">
        <v>5</v>
      </c>
      <c r="D122" s="9" t="s">
        <v>6</v>
      </c>
      <c r="E122" s="9" t="s">
        <v>139</v>
      </c>
      <c r="F122" s="9" t="s">
        <v>375</v>
      </c>
      <c r="G122" s="16">
        <v>2024</v>
      </c>
      <c r="H122" s="16" t="s">
        <v>13</v>
      </c>
      <c r="I122" s="22" t="s">
        <v>432</v>
      </c>
      <c r="J122" s="21" t="s">
        <v>429</v>
      </c>
      <c r="K122" s="7"/>
      <c r="L122" s="7"/>
      <c r="M122" s="13">
        <v>130143</v>
      </c>
      <c r="N122" s="7">
        <v>190</v>
      </c>
      <c r="O122" s="7">
        <v>38</v>
      </c>
      <c r="P122" s="7">
        <v>150</v>
      </c>
      <c r="Q122" s="7">
        <v>6</v>
      </c>
      <c r="R122" s="29">
        <f t="shared" si="3"/>
        <v>125</v>
      </c>
      <c r="S122" s="26">
        <f t="shared" si="2"/>
        <v>0.27661879624720498</v>
      </c>
      <c r="T122" s="13">
        <v>36000</v>
      </c>
    </row>
    <row r="123" spans="1:20">
      <c r="A123" s="2">
        <v>122</v>
      </c>
      <c r="B123" s="9" t="s">
        <v>169</v>
      </c>
      <c r="C123" s="9"/>
      <c r="D123" s="9" t="s">
        <v>6</v>
      </c>
      <c r="E123" s="9" t="s">
        <v>139</v>
      </c>
      <c r="F123" s="9" t="s">
        <v>376</v>
      </c>
      <c r="G123" s="16">
        <v>2025</v>
      </c>
      <c r="H123" s="16"/>
      <c r="I123" s="20" t="s">
        <v>347</v>
      </c>
      <c r="J123" s="21" t="s">
        <v>429</v>
      </c>
      <c r="K123" s="7"/>
      <c r="L123" s="7"/>
      <c r="M123" s="13">
        <v>121551.47</v>
      </c>
      <c r="N123" s="7"/>
      <c r="O123" s="7">
        <v>30</v>
      </c>
      <c r="P123" s="7">
        <v>170</v>
      </c>
      <c r="Q123" s="7">
        <v>4</v>
      </c>
      <c r="R123" s="29">
        <f t="shared" si="3"/>
        <v>151.11111111111111</v>
      </c>
      <c r="S123" s="26">
        <f t="shared" si="2"/>
        <v>0.80070171097066944</v>
      </c>
      <c r="T123" s="13">
        <v>97326.47</v>
      </c>
    </row>
    <row r="124" spans="1:20">
      <c r="A124" s="2">
        <v>123</v>
      </c>
      <c r="B124" s="9" t="s">
        <v>207</v>
      </c>
      <c r="C124" s="9" t="s">
        <v>5</v>
      </c>
      <c r="D124" s="9" t="s">
        <v>6</v>
      </c>
      <c r="E124" s="9" t="s">
        <v>7</v>
      </c>
      <c r="F124" s="9" t="s">
        <v>208</v>
      </c>
      <c r="G124" s="16">
        <v>2008</v>
      </c>
      <c r="H124" s="16" t="s">
        <v>13</v>
      </c>
      <c r="I124" s="20" t="s">
        <v>406</v>
      </c>
      <c r="J124" s="21" t="s">
        <v>332</v>
      </c>
      <c r="K124" s="7"/>
      <c r="L124" s="7"/>
      <c r="M124" s="13">
        <v>110000</v>
      </c>
      <c r="N124" s="7">
        <v>304.16666666666669</v>
      </c>
      <c r="O124" s="7">
        <v>30</v>
      </c>
      <c r="P124" s="7">
        <v>205</v>
      </c>
      <c r="Q124" s="7">
        <v>6</v>
      </c>
      <c r="R124" s="29">
        <f t="shared" si="3"/>
        <v>170.83333333333334</v>
      </c>
      <c r="S124" s="26">
        <f t="shared" si="2"/>
        <v>0.14505645454545454</v>
      </c>
      <c r="T124" s="13">
        <v>15956.21</v>
      </c>
    </row>
    <row r="125" spans="1:20">
      <c r="A125" s="2">
        <v>124</v>
      </c>
      <c r="B125" s="9" t="s">
        <v>207</v>
      </c>
      <c r="C125" s="9" t="s">
        <v>5</v>
      </c>
      <c r="D125" s="9" t="s">
        <v>6</v>
      </c>
      <c r="E125" s="9" t="s">
        <v>7</v>
      </c>
      <c r="F125" s="9" t="s">
        <v>210</v>
      </c>
      <c r="G125" s="16">
        <v>2011</v>
      </c>
      <c r="H125" s="16" t="s">
        <v>18</v>
      </c>
      <c r="I125" s="20" t="s">
        <v>209</v>
      </c>
      <c r="J125" s="21" t="s">
        <v>332</v>
      </c>
      <c r="K125" s="7"/>
      <c r="L125" s="7"/>
      <c r="M125" s="13">
        <v>56000</v>
      </c>
      <c r="N125" s="7">
        <v>240</v>
      </c>
      <c r="O125" s="7">
        <v>48.76</v>
      </c>
      <c r="P125" s="7">
        <v>185</v>
      </c>
      <c r="Q125" s="7">
        <v>6</v>
      </c>
      <c r="R125" s="29">
        <f t="shared" si="3"/>
        <v>154.16666666666666</v>
      </c>
      <c r="S125" s="26">
        <f t="shared" si="2"/>
        <v>0.11841071428571429</v>
      </c>
      <c r="T125" s="13">
        <v>6631</v>
      </c>
    </row>
    <row r="126" spans="1:20">
      <c r="A126" s="2">
        <v>125</v>
      </c>
      <c r="B126" s="9" t="s">
        <v>207</v>
      </c>
      <c r="C126" s="9" t="s">
        <v>5</v>
      </c>
      <c r="D126" s="9" t="s">
        <v>6</v>
      </c>
      <c r="E126" s="9" t="s">
        <v>7</v>
      </c>
      <c r="F126" s="9" t="s">
        <v>212</v>
      </c>
      <c r="G126" s="16">
        <v>2015</v>
      </c>
      <c r="H126" s="16"/>
      <c r="I126" s="20" t="s">
        <v>211</v>
      </c>
      <c r="J126" s="21" t="s">
        <v>332</v>
      </c>
      <c r="K126" s="7"/>
      <c r="L126" s="7"/>
      <c r="M126" s="13">
        <v>89177</v>
      </c>
      <c r="N126" s="7">
        <v>212.91666666666666</v>
      </c>
      <c r="O126" s="7">
        <v>33</v>
      </c>
      <c r="P126" s="7">
        <v>145</v>
      </c>
      <c r="Q126" s="7">
        <v>5</v>
      </c>
      <c r="R126" s="29">
        <f t="shared" si="3"/>
        <v>124.86111111111111</v>
      </c>
      <c r="S126" s="26">
        <f t="shared" si="2"/>
        <v>0.16068997611491756</v>
      </c>
      <c r="T126" s="13">
        <v>14329.850000000002</v>
      </c>
    </row>
    <row r="127" spans="1:20">
      <c r="A127" s="2">
        <v>126</v>
      </c>
      <c r="B127" s="9" t="s">
        <v>207</v>
      </c>
      <c r="C127" s="9" t="s">
        <v>5</v>
      </c>
      <c r="D127" s="9" t="s">
        <v>6</v>
      </c>
      <c r="E127" s="9" t="s">
        <v>7</v>
      </c>
      <c r="F127" s="9" t="s">
        <v>214</v>
      </c>
      <c r="G127" s="16">
        <v>2015</v>
      </c>
      <c r="H127" s="16" t="s">
        <v>18</v>
      </c>
      <c r="I127" s="20" t="s">
        <v>213</v>
      </c>
      <c r="J127" s="21" t="s">
        <v>332</v>
      </c>
      <c r="K127" s="7"/>
      <c r="L127" s="7"/>
      <c r="M127" s="13">
        <v>30000</v>
      </c>
      <c r="N127" s="7">
        <v>280</v>
      </c>
      <c r="O127" s="7">
        <v>50</v>
      </c>
      <c r="P127" s="7">
        <v>190</v>
      </c>
      <c r="Q127" s="7">
        <v>5</v>
      </c>
      <c r="R127" s="29">
        <f t="shared" si="3"/>
        <v>163.61111111111111</v>
      </c>
      <c r="S127" s="26">
        <f t="shared" si="2"/>
        <v>0.2198</v>
      </c>
      <c r="T127" s="13">
        <v>6594</v>
      </c>
    </row>
    <row r="128" spans="1:20">
      <c r="A128" s="2">
        <v>127</v>
      </c>
      <c r="B128" s="9" t="s">
        <v>207</v>
      </c>
      <c r="C128" s="9" t="s">
        <v>5</v>
      </c>
      <c r="D128" s="9" t="s">
        <v>6</v>
      </c>
      <c r="E128" s="9" t="s">
        <v>7</v>
      </c>
      <c r="F128" s="9" t="s">
        <v>216</v>
      </c>
      <c r="G128" s="16">
        <v>2015</v>
      </c>
      <c r="H128" s="16" t="s">
        <v>13</v>
      </c>
      <c r="I128" s="20" t="s">
        <v>215</v>
      </c>
      <c r="J128" s="21" t="s">
        <v>332</v>
      </c>
      <c r="K128" s="7"/>
      <c r="L128" s="7"/>
      <c r="M128" s="13">
        <v>54550</v>
      </c>
      <c r="N128" s="7">
        <v>228.125</v>
      </c>
      <c r="O128" s="7">
        <v>33</v>
      </c>
      <c r="P128" s="7">
        <v>145</v>
      </c>
      <c r="Q128" s="7">
        <v>6</v>
      </c>
      <c r="R128" s="29">
        <f t="shared" si="3"/>
        <v>120.83333333333333</v>
      </c>
      <c r="S128" s="26">
        <f t="shared" si="2"/>
        <v>0.18331805682859761</v>
      </c>
      <c r="T128" s="13">
        <v>10000</v>
      </c>
    </row>
    <row r="129" spans="1:20">
      <c r="A129" s="2">
        <v>128</v>
      </c>
      <c r="B129" s="9" t="s">
        <v>207</v>
      </c>
      <c r="C129" s="9" t="s">
        <v>5</v>
      </c>
      <c r="D129" s="9" t="s">
        <v>6</v>
      </c>
      <c r="E129" s="9" t="s">
        <v>7</v>
      </c>
      <c r="F129" s="9" t="s">
        <v>217</v>
      </c>
      <c r="G129" s="16">
        <v>2016</v>
      </c>
      <c r="H129" s="16" t="s">
        <v>13</v>
      </c>
      <c r="I129" s="20" t="s">
        <v>407</v>
      </c>
      <c r="J129" s="21" t="s">
        <v>332</v>
      </c>
      <c r="K129" s="7"/>
      <c r="L129" s="7"/>
      <c r="M129" s="13">
        <v>125000</v>
      </c>
      <c r="N129" s="7">
        <v>334.58333333333331</v>
      </c>
      <c r="O129" s="7">
        <v>32</v>
      </c>
      <c r="P129" s="7">
        <v>220</v>
      </c>
      <c r="Q129" s="7">
        <v>6</v>
      </c>
      <c r="R129" s="29">
        <f t="shared" si="3"/>
        <v>183.33333333333334</v>
      </c>
      <c r="S129" s="26">
        <f t="shared" si="2"/>
        <v>0.28566256000000001</v>
      </c>
      <c r="T129" s="13">
        <v>35707.82</v>
      </c>
    </row>
    <row r="130" spans="1:20">
      <c r="A130" s="2">
        <v>129</v>
      </c>
      <c r="B130" s="9" t="s">
        <v>207</v>
      </c>
      <c r="C130" s="9" t="s">
        <v>5</v>
      </c>
      <c r="D130" s="9" t="s">
        <v>6</v>
      </c>
      <c r="E130" s="9" t="s">
        <v>7</v>
      </c>
      <c r="F130" s="9" t="s">
        <v>219</v>
      </c>
      <c r="G130" s="16">
        <v>2016</v>
      </c>
      <c r="H130" s="16" t="s">
        <v>13</v>
      </c>
      <c r="I130" s="20" t="s">
        <v>218</v>
      </c>
      <c r="J130" s="21" t="s">
        <v>332</v>
      </c>
      <c r="K130" s="7"/>
      <c r="L130" s="7"/>
      <c r="M130" s="13">
        <v>69100</v>
      </c>
      <c r="N130" s="7">
        <v>300</v>
      </c>
      <c r="O130" s="7">
        <v>35</v>
      </c>
      <c r="P130" s="7">
        <v>200</v>
      </c>
      <c r="Q130" s="7">
        <v>8</v>
      </c>
      <c r="R130" s="29">
        <f t="shared" si="3"/>
        <v>155.55555555555554</v>
      </c>
      <c r="S130" s="26">
        <f t="shared" si="2"/>
        <v>5.9334298118668596E-2</v>
      </c>
      <c r="T130" s="13">
        <v>4100</v>
      </c>
    </row>
    <row r="131" spans="1:20">
      <c r="A131" s="2">
        <v>130</v>
      </c>
      <c r="B131" s="9" t="s">
        <v>207</v>
      </c>
      <c r="C131" s="9" t="s">
        <v>5</v>
      </c>
      <c r="D131" s="9" t="s">
        <v>6</v>
      </c>
      <c r="E131" s="9" t="s">
        <v>7</v>
      </c>
      <c r="F131" s="9" t="s">
        <v>221</v>
      </c>
      <c r="G131" s="16">
        <v>2018</v>
      </c>
      <c r="H131" s="16" t="s">
        <v>18</v>
      </c>
      <c r="I131" s="20" t="s">
        <v>220</v>
      </c>
      <c r="J131" s="21" t="s">
        <v>332</v>
      </c>
      <c r="K131" s="7"/>
      <c r="L131" s="7"/>
      <c r="M131" s="13">
        <v>118290</v>
      </c>
      <c r="N131" s="7">
        <v>270</v>
      </c>
      <c r="O131" s="7">
        <v>30</v>
      </c>
      <c r="P131" s="7">
        <v>190</v>
      </c>
      <c r="Q131" s="7">
        <v>7</v>
      </c>
      <c r="R131" s="29">
        <f t="shared" si="3"/>
        <v>153.05555555555554</v>
      </c>
      <c r="S131" s="26">
        <f t="shared" ref="S131:S192" si="4">T131/M131</f>
        <v>0.16662439766675122</v>
      </c>
      <c r="T131" s="13">
        <v>19710</v>
      </c>
    </row>
    <row r="132" spans="1:20">
      <c r="A132" s="2">
        <v>131</v>
      </c>
      <c r="B132" s="9" t="s">
        <v>207</v>
      </c>
      <c r="C132" s="9" t="s">
        <v>5</v>
      </c>
      <c r="D132" s="9" t="s">
        <v>6</v>
      </c>
      <c r="E132" s="9" t="s">
        <v>7</v>
      </c>
      <c r="F132" s="9" t="s">
        <v>222</v>
      </c>
      <c r="G132" s="16">
        <v>2018</v>
      </c>
      <c r="H132" s="16" t="s">
        <v>13</v>
      </c>
      <c r="I132" s="20" t="s">
        <v>408</v>
      </c>
      <c r="J132" s="21" t="s">
        <v>332</v>
      </c>
      <c r="K132" s="7"/>
      <c r="L132" s="7"/>
      <c r="M132" s="13">
        <v>79900</v>
      </c>
      <c r="N132" s="7">
        <v>304.16666666666669</v>
      </c>
      <c r="O132" s="7">
        <v>33</v>
      </c>
      <c r="P132" s="7">
        <v>200</v>
      </c>
      <c r="Q132" s="7">
        <v>8</v>
      </c>
      <c r="R132" s="29">
        <f t="shared" si="3"/>
        <v>155.55555555555554</v>
      </c>
      <c r="S132" s="26">
        <f t="shared" si="4"/>
        <v>0.14313241551939929</v>
      </c>
      <c r="T132" s="13">
        <v>11436.280000000002</v>
      </c>
    </row>
    <row r="133" spans="1:20">
      <c r="A133" s="2">
        <v>132</v>
      </c>
      <c r="B133" s="9" t="s">
        <v>207</v>
      </c>
      <c r="C133" s="9" t="s">
        <v>5</v>
      </c>
      <c r="D133" s="9" t="s">
        <v>6</v>
      </c>
      <c r="E133" s="9" t="s">
        <v>7</v>
      </c>
      <c r="F133" s="9" t="s">
        <v>224</v>
      </c>
      <c r="G133" s="16">
        <v>2018</v>
      </c>
      <c r="H133" s="16" t="s">
        <v>13</v>
      </c>
      <c r="I133" s="20" t="s">
        <v>223</v>
      </c>
      <c r="J133" s="21" t="s">
        <v>332</v>
      </c>
      <c r="K133" s="7"/>
      <c r="L133" s="7"/>
      <c r="M133" s="13">
        <v>39742.379999999997</v>
      </c>
      <c r="N133" s="7">
        <v>273.75</v>
      </c>
      <c r="O133" s="7">
        <v>30</v>
      </c>
      <c r="P133" s="7">
        <v>155</v>
      </c>
      <c r="Q133" s="7">
        <v>5</v>
      </c>
      <c r="R133" s="29">
        <f t="shared" si="3"/>
        <v>133.47222222222223</v>
      </c>
      <c r="S133" s="26">
        <f t="shared" si="4"/>
        <v>0.14746550156281532</v>
      </c>
      <c r="T133" s="13">
        <v>5860.63</v>
      </c>
    </row>
    <row r="134" spans="1:20">
      <c r="A134" s="2">
        <v>133</v>
      </c>
      <c r="B134" s="9" t="s">
        <v>207</v>
      </c>
      <c r="C134" s="9" t="s">
        <v>5</v>
      </c>
      <c r="D134" s="9" t="s">
        <v>6</v>
      </c>
      <c r="E134" s="9" t="s">
        <v>7</v>
      </c>
      <c r="F134" s="9" t="s">
        <v>226</v>
      </c>
      <c r="G134" s="16">
        <v>2019</v>
      </c>
      <c r="H134" s="16" t="s">
        <v>13</v>
      </c>
      <c r="I134" s="20" t="s">
        <v>225</v>
      </c>
      <c r="J134" s="21" t="s">
        <v>332</v>
      </c>
      <c r="K134" s="7"/>
      <c r="L134" s="7"/>
      <c r="M134" s="13">
        <v>48000</v>
      </c>
      <c r="N134" s="7">
        <v>330</v>
      </c>
      <c r="O134" s="7">
        <v>30</v>
      </c>
      <c r="P134" s="7">
        <v>220</v>
      </c>
      <c r="Q134" s="7">
        <v>11</v>
      </c>
      <c r="R134" s="29">
        <f t="shared" ref="R134:R192" si="5">P134*(36-Q134)/36</f>
        <v>152.77777777777777</v>
      </c>
      <c r="S134" s="26">
        <f t="shared" si="4"/>
        <v>0.13894520833333332</v>
      </c>
      <c r="T134" s="13">
        <v>6669.369999999999</v>
      </c>
    </row>
    <row r="135" spans="1:20">
      <c r="A135" s="2">
        <v>134</v>
      </c>
      <c r="B135" s="9" t="s">
        <v>207</v>
      </c>
      <c r="C135" s="9" t="s">
        <v>12</v>
      </c>
      <c r="D135" s="9" t="s">
        <v>6</v>
      </c>
      <c r="E135" s="9" t="s">
        <v>7</v>
      </c>
      <c r="F135" s="9" t="s">
        <v>227</v>
      </c>
      <c r="G135" s="16" t="e">
        <v>#N/A</v>
      </c>
      <c r="H135" s="16" t="s">
        <v>18</v>
      </c>
      <c r="I135" s="20" t="s">
        <v>410</v>
      </c>
      <c r="J135" s="21" t="s">
        <v>332</v>
      </c>
      <c r="K135" s="7"/>
      <c r="L135" s="7"/>
      <c r="M135" s="13">
        <v>74722</v>
      </c>
      <c r="N135" s="7">
        <v>270</v>
      </c>
      <c r="O135" s="7">
        <v>35</v>
      </c>
      <c r="P135" s="7">
        <v>205</v>
      </c>
      <c r="Q135" s="7">
        <v>8</v>
      </c>
      <c r="R135" s="29">
        <f t="shared" si="5"/>
        <v>159.44444444444446</v>
      </c>
      <c r="S135" s="26">
        <f t="shared" si="4"/>
        <v>0.43192232541955516</v>
      </c>
      <c r="T135" s="13">
        <v>32274.100000000002</v>
      </c>
    </row>
    <row r="136" spans="1:20">
      <c r="A136" s="2">
        <v>135</v>
      </c>
      <c r="B136" s="9" t="s">
        <v>207</v>
      </c>
      <c r="C136" s="9" t="s">
        <v>141</v>
      </c>
      <c r="D136" s="9" t="s">
        <v>6</v>
      </c>
      <c r="E136" s="9" t="s">
        <v>7</v>
      </c>
      <c r="F136" s="9" t="s">
        <v>228</v>
      </c>
      <c r="G136" s="16" t="e">
        <v>#N/A</v>
      </c>
      <c r="H136" s="16" t="s">
        <v>297</v>
      </c>
      <c r="I136" s="20" t="s">
        <v>409</v>
      </c>
      <c r="J136" s="21" t="s">
        <v>332</v>
      </c>
      <c r="K136" s="7"/>
      <c r="L136" s="7"/>
      <c r="M136" s="13">
        <v>55000</v>
      </c>
      <c r="N136" s="7">
        <v>152.08333333333334</v>
      </c>
      <c r="O136" s="7">
        <v>30</v>
      </c>
      <c r="P136" s="7">
        <v>140</v>
      </c>
      <c r="Q136" s="7">
        <v>5</v>
      </c>
      <c r="R136" s="29">
        <f t="shared" si="5"/>
        <v>120.55555555555556</v>
      </c>
      <c r="S136" s="26">
        <f t="shared" si="4"/>
        <v>3.4563636363636366E-2</v>
      </c>
      <c r="T136" s="13">
        <v>1901</v>
      </c>
    </row>
    <row r="137" spans="1:20">
      <c r="A137" s="2">
        <v>136</v>
      </c>
      <c r="B137" s="9" t="s">
        <v>230</v>
      </c>
      <c r="C137" s="9" t="s">
        <v>5</v>
      </c>
      <c r="D137" s="9" t="s">
        <v>6</v>
      </c>
      <c r="E137" s="9" t="s">
        <v>81</v>
      </c>
      <c r="F137" s="9" t="s">
        <v>231</v>
      </c>
      <c r="G137" s="16" t="s">
        <v>386</v>
      </c>
      <c r="H137" s="16"/>
      <c r="I137" s="20" t="s">
        <v>229</v>
      </c>
      <c r="J137" s="21" t="s">
        <v>423</v>
      </c>
      <c r="K137" s="7"/>
      <c r="L137" s="7"/>
      <c r="M137" s="13">
        <v>128000</v>
      </c>
      <c r="N137" s="7">
        <v>420</v>
      </c>
      <c r="O137" s="7">
        <v>30</v>
      </c>
      <c r="P137" s="7">
        <v>215</v>
      </c>
      <c r="Q137" s="7">
        <v>3</v>
      </c>
      <c r="R137" s="29">
        <f t="shared" si="5"/>
        <v>197.08333333333334</v>
      </c>
      <c r="S137" s="26">
        <f t="shared" si="4"/>
        <v>4.7859375000000003E-2</v>
      </c>
      <c r="T137" s="13">
        <v>6126</v>
      </c>
    </row>
    <row r="138" spans="1:20">
      <c r="A138" s="2">
        <v>137</v>
      </c>
      <c r="B138" s="9" t="s">
        <v>230</v>
      </c>
      <c r="C138" s="9" t="s">
        <v>5</v>
      </c>
      <c r="D138" s="9" t="s">
        <v>6</v>
      </c>
      <c r="E138" s="9" t="s">
        <v>81</v>
      </c>
      <c r="F138" s="9" t="s">
        <v>233</v>
      </c>
      <c r="G138" s="16">
        <v>2008</v>
      </c>
      <c r="H138" s="16" t="s">
        <v>13</v>
      </c>
      <c r="I138" s="20" t="s">
        <v>232</v>
      </c>
      <c r="J138" s="21" t="s">
        <v>423</v>
      </c>
      <c r="K138" s="7"/>
      <c r="L138" s="7"/>
      <c r="M138" s="13">
        <v>122000</v>
      </c>
      <c r="N138" s="7">
        <v>300</v>
      </c>
      <c r="O138" s="7">
        <v>30</v>
      </c>
      <c r="P138" s="7">
        <v>220</v>
      </c>
      <c r="Q138" s="7">
        <v>4</v>
      </c>
      <c r="R138" s="29">
        <f t="shared" si="5"/>
        <v>195.55555555555554</v>
      </c>
      <c r="S138" s="26">
        <f t="shared" si="4"/>
        <v>1.7885245901639344E-2</v>
      </c>
      <c r="T138" s="13">
        <v>2182</v>
      </c>
    </row>
    <row r="139" spans="1:20">
      <c r="A139" s="2">
        <v>138</v>
      </c>
      <c r="B139" s="9" t="s">
        <v>230</v>
      </c>
      <c r="C139" s="9" t="s">
        <v>5</v>
      </c>
      <c r="D139" s="9" t="s">
        <v>6</v>
      </c>
      <c r="E139" s="9" t="s">
        <v>81</v>
      </c>
      <c r="F139" s="9" t="s">
        <v>235</v>
      </c>
      <c r="G139" s="16">
        <v>2010</v>
      </c>
      <c r="H139" s="16"/>
      <c r="I139" s="20" t="s">
        <v>234</v>
      </c>
      <c r="J139" s="21" t="s">
        <v>423</v>
      </c>
      <c r="K139" s="7"/>
      <c r="L139" s="7"/>
      <c r="M139" s="13">
        <v>22000</v>
      </c>
      <c r="N139" s="7">
        <v>280</v>
      </c>
      <c r="O139" s="7">
        <v>30</v>
      </c>
      <c r="P139" s="7">
        <v>215</v>
      </c>
      <c r="Q139" s="7">
        <v>3</v>
      </c>
      <c r="R139" s="29">
        <f t="shared" si="5"/>
        <v>197.08333333333334</v>
      </c>
      <c r="S139" s="26">
        <f t="shared" si="4"/>
        <v>0.20981818181818182</v>
      </c>
      <c r="T139" s="13">
        <v>4616</v>
      </c>
    </row>
    <row r="140" spans="1:20">
      <c r="A140" s="2">
        <v>139</v>
      </c>
      <c r="B140" s="9" t="s">
        <v>230</v>
      </c>
      <c r="C140" s="9" t="s">
        <v>5</v>
      </c>
      <c r="D140" s="9" t="s">
        <v>6</v>
      </c>
      <c r="E140" s="9" t="s">
        <v>81</v>
      </c>
      <c r="F140" s="9" t="s">
        <v>237</v>
      </c>
      <c r="G140" s="16">
        <v>2010</v>
      </c>
      <c r="H140" s="16"/>
      <c r="I140" s="20" t="s">
        <v>236</v>
      </c>
      <c r="J140" s="21" t="s">
        <v>423</v>
      </c>
      <c r="K140" s="7"/>
      <c r="L140" s="7"/>
      <c r="M140" s="13">
        <v>10000</v>
      </c>
      <c r="N140" s="7">
        <v>300</v>
      </c>
      <c r="O140" s="7">
        <v>30</v>
      </c>
      <c r="P140" s="7">
        <v>270</v>
      </c>
      <c r="Q140" s="7">
        <v>2</v>
      </c>
      <c r="R140" s="29">
        <f t="shared" si="5"/>
        <v>255</v>
      </c>
      <c r="S140" s="26">
        <f t="shared" si="4"/>
        <v>0</v>
      </c>
      <c r="T140" s="13">
        <v>0</v>
      </c>
    </row>
    <row r="141" spans="1:20">
      <c r="A141" s="2">
        <v>140</v>
      </c>
      <c r="B141" s="9" t="s">
        <v>230</v>
      </c>
      <c r="C141" s="9" t="s">
        <v>5</v>
      </c>
      <c r="D141" s="9" t="s">
        <v>6</v>
      </c>
      <c r="E141" s="9" t="s">
        <v>7</v>
      </c>
      <c r="F141" s="9" t="s">
        <v>239</v>
      </c>
      <c r="G141" s="16">
        <v>2008</v>
      </c>
      <c r="H141" s="16"/>
      <c r="I141" s="20" t="s">
        <v>238</v>
      </c>
      <c r="J141" s="21" t="s">
        <v>430</v>
      </c>
      <c r="K141" s="7"/>
      <c r="L141" s="7"/>
      <c r="M141" s="13">
        <v>64000</v>
      </c>
      <c r="N141" s="7">
        <v>270</v>
      </c>
      <c r="O141" s="7">
        <v>30</v>
      </c>
      <c r="P141" s="7">
        <v>200</v>
      </c>
      <c r="Q141" s="7">
        <v>4</v>
      </c>
      <c r="R141" s="29">
        <f t="shared" si="5"/>
        <v>177.77777777777777</v>
      </c>
      <c r="S141" s="26">
        <f t="shared" si="4"/>
        <v>0.28125</v>
      </c>
      <c r="T141" s="13">
        <v>18000</v>
      </c>
    </row>
    <row r="142" spans="1:20">
      <c r="A142" s="2">
        <v>141</v>
      </c>
      <c r="B142" s="9" t="s">
        <v>230</v>
      </c>
      <c r="C142" s="9" t="s">
        <v>5</v>
      </c>
      <c r="D142" s="9" t="s">
        <v>6</v>
      </c>
      <c r="E142" s="9" t="s">
        <v>7</v>
      </c>
      <c r="F142" s="9" t="s">
        <v>241</v>
      </c>
      <c r="G142" s="16">
        <v>2009</v>
      </c>
      <c r="H142" s="16"/>
      <c r="I142" s="20" t="s">
        <v>240</v>
      </c>
      <c r="J142" s="21" t="s">
        <v>430</v>
      </c>
      <c r="K142" s="7"/>
      <c r="L142" s="7"/>
      <c r="M142" s="13">
        <v>95628</v>
      </c>
      <c r="N142" s="7">
        <v>250</v>
      </c>
      <c r="O142" s="7">
        <v>27</v>
      </c>
      <c r="P142" s="7">
        <v>180</v>
      </c>
      <c r="Q142" s="7">
        <v>3</v>
      </c>
      <c r="R142" s="29">
        <f t="shared" si="5"/>
        <v>165</v>
      </c>
      <c r="S142" s="26">
        <f t="shared" si="4"/>
        <v>0.24741707449700925</v>
      </c>
      <c r="T142" s="13">
        <v>23660</v>
      </c>
    </row>
    <row r="143" spans="1:20">
      <c r="A143" s="2">
        <v>142</v>
      </c>
      <c r="B143" s="9" t="s">
        <v>230</v>
      </c>
      <c r="C143" s="9" t="s">
        <v>5</v>
      </c>
      <c r="D143" s="9" t="s">
        <v>6</v>
      </c>
      <c r="E143" s="9" t="s">
        <v>7</v>
      </c>
      <c r="F143" s="9" t="s">
        <v>243</v>
      </c>
      <c r="G143" s="16">
        <v>2009</v>
      </c>
      <c r="H143" s="16"/>
      <c r="I143" s="20" t="s">
        <v>242</v>
      </c>
      <c r="J143" s="21" t="s">
        <v>430</v>
      </c>
      <c r="K143" s="7"/>
      <c r="L143" s="7"/>
      <c r="M143" s="13">
        <v>39562</v>
      </c>
      <c r="N143" s="7">
        <v>240</v>
      </c>
      <c r="O143" s="7">
        <v>27</v>
      </c>
      <c r="P143" s="7">
        <v>170</v>
      </c>
      <c r="Q143" s="7">
        <v>4</v>
      </c>
      <c r="R143" s="29">
        <f t="shared" si="5"/>
        <v>151.11111111111111</v>
      </c>
      <c r="S143" s="26">
        <f t="shared" si="4"/>
        <v>0.18391385673120672</v>
      </c>
      <c r="T143" s="13">
        <v>7276</v>
      </c>
    </row>
    <row r="144" spans="1:20">
      <c r="A144" s="2">
        <v>143</v>
      </c>
      <c r="B144" s="9" t="s">
        <v>230</v>
      </c>
      <c r="C144" s="9" t="s">
        <v>5</v>
      </c>
      <c r="D144" s="9" t="s">
        <v>6</v>
      </c>
      <c r="E144" s="9" t="s">
        <v>7</v>
      </c>
      <c r="F144" s="9" t="s">
        <v>244</v>
      </c>
      <c r="G144" s="16">
        <v>2010</v>
      </c>
      <c r="H144" s="16" t="s">
        <v>13</v>
      </c>
      <c r="I144" s="20" t="s">
        <v>411</v>
      </c>
      <c r="J144" s="21" t="s">
        <v>430</v>
      </c>
      <c r="K144" s="7"/>
      <c r="L144" s="7"/>
      <c r="M144" s="13">
        <v>105000</v>
      </c>
      <c r="N144" s="7">
        <v>450</v>
      </c>
      <c r="O144" s="7">
        <v>38</v>
      </c>
      <c r="P144" s="7">
        <v>200</v>
      </c>
      <c r="Q144" s="7">
        <v>8</v>
      </c>
      <c r="R144" s="29">
        <f t="shared" si="5"/>
        <v>155.55555555555554</v>
      </c>
      <c r="S144" s="26">
        <f t="shared" si="4"/>
        <v>0.75</v>
      </c>
      <c r="T144" s="13">
        <v>78750</v>
      </c>
    </row>
    <row r="145" spans="1:20">
      <c r="A145" s="2">
        <v>144</v>
      </c>
      <c r="B145" s="9" t="s">
        <v>230</v>
      </c>
      <c r="C145" s="9" t="s">
        <v>5</v>
      </c>
      <c r="D145" s="9" t="s">
        <v>6</v>
      </c>
      <c r="E145" s="9" t="s">
        <v>7</v>
      </c>
      <c r="F145" s="9" t="s">
        <v>348</v>
      </c>
      <c r="G145" s="16">
        <v>2016</v>
      </c>
      <c r="H145" s="16" t="s">
        <v>18</v>
      </c>
      <c r="I145" s="22" t="s">
        <v>433</v>
      </c>
      <c r="J145" s="21" t="s">
        <v>430</v>
      </c>
      <c r="K145" s="7"/>
      <c r="L145" s="7"/>
      <c r="M145" s="13">
        <v>60000</v>
      </c>
      <c r="N145" s="7">
        <v>510</v>
      </c>
      <c r="O145" s="7">
        <v>35</v>
      </c>
      <c r="P145" s="7">
        <v>230</v>
      </c>
      <c r="Q145" s="7">
        <v>4</v>
      </c>
      <c r="R145" s="29">
        <f t="shared" si="5"/>
        <v>204.44444444444446</v>
      </c>
      <c r="S145" s="26">
        <f t="shared" si="4"/>
        <v>0.66666666666666663</v>
      </c>
      <c r="T145" s="13">
        <v>40000</v>
      </c>
    </row>
    <row r="146" spans="1:20">
      <c r="A146" s="2">
        <v>145</v>
      </c>
      <c r="B146" s="9" t="s">
        <v>230</v>
      </c>
      <c r="C146" s="9" t="s">
        <v>5</v>
      </c>
      <c r="D146" s="9" t="s">
        <v>6</v>
      </c>
      <c r="E146" s="9" t="s">
        <v>7</v>
      </c>
      <c r="F146" s="9" t="s">
        <v>245</v>
      </c>
      <c r="G146" s="16">
        <v>2016</v>
      </c>
      <c r="H146" s="16"/>
      <c r="I146" s="20" t="s">
        <v>412</v>
      </c>
      <c r="J146" s="21" t="s">
        <v>430</v>
      </c>
      <c r="K146" s="7"/>
      <c r="L146" s="7"/>
      <c r="M146" s="13">
        <v>39964</v>
      </c>
      <c r="N146" s="7">
        <v>420</v>
      </c>
      <c r="O146" s="7">
        <v>34</v>
      </c>
      <c r="P146" s="7">
        <v>300</v>
      </c>
      <c r="Q146" s="7">
        <v>3</v>
      </c>
      <c r="R146" s="29">
        <f t="shared" si="5"/>
        <v>275</v>
      </c>
      <c r="S146" s="26">
        <f t="shared" si="4"/>
        <v>3.2529276348713845E-2</v>
      </c>
      <c r="T146" s="13">
        <v>1300</v>
      </c>
    </row>
    <row r="147" spans="1:20">
      <c r="A147" s="2">
        <v>146</v>
      </c>
      <c r="B147" s="9" t="s">
        <v>230</v>
      </c>
      <c r="C147" s="9" t="s">
        <v>5</v>
      </c>
      <c r="D147" s="9" t="s">
        <v>6</v>
      </c>
      <c r="E147" s="9" t="s">
        <v>7</v>
      </c>
      <c r="F147" s="9" t="s">
        <v>247</v>
      </c>
      <c r="G147" s="16">
        <v>2017</v>
      </c>
      <c r="H147" s="16" t="s">
        <v>13</v>
      </c>
      <c r="I147" s="20" t="s">
        <v>246</v>
      </c>
      <c r="J147" s="21" t="s">
        <v>421</v>
      </c>
      <c r="K147" s="7"/>
      <c r="L147" s="7"/>
      <c r="M147" s="13">
        <v>94000</v>
      </c>
      <c r="N147" s="7">
        <v>450</v>
      </c>
      <c r="O147" s="7">
        <v>33</v>
      </c>
      <c r="P147" s="7">
        <v>290</v>
      </c>
      <c r="Q147" s="7">
        <v>4</v>
      </c>
      <c r="R147" s="29">
        <f t="shared" si="5"/>
        <v>257.77777777777777</v>
      </c>
      <c r="S147" s="26">
        <f t="shared" si="4"/>
        <v>0.1276595744680851</v>
      </c>
      <c r="T147" s="13">
        <v>12000</v>
      </c>
    </row>
    <row r="148" spans="1:20">
      <c r="A148" s="2">
        <v>147</v>
      </c>
      <c r="B148" s="9" t="s">
        <v>230</v>
      </c>
      <c r="C148" s="9" t="s">
        <v>5</v>
      </c>
      <c r="D148" s="9" t="s">
        <v>6</v>
      </c>
      <c r="E148" s="9" t="s">
        <v>7</v>
      </c>
      <c r="F148" s="9" t="s">
        <v>349</v>
      </c>
      <c r="G148" s="16">
        <v>2017</v>
      </c>
      <c r="H148" s="16" t="s">
        <v>18</v>
      </c>
      <c r="I148" s="22" t="s">
        <v>434</v>
      </c>
      <c r="J148" s="21" t="s">
        <v>430</v>
      </c>
      <c r="K148" s="7"/>
      <c r="L148" s="7"/>
      <c r="M148" s="13">
        <v>75000</v>
      </c>
      <c r="N148" s="7">
        <v>480</v>
      </c>
      <c r="O148" s="7">
        <v>35</v>
      </c>
      <c r="P148" s="7">
        <v>200</v>
      </c>
      <c r="Q148" s="7">
        <v>6</v>
      </c>
      <c r="R148" s="29">
        <f t="shared" si="5"/>
        <v>166.66666666666666</v>
      </c>
      <c r="S148" s="26">
        <f t="shared" si="4"/>
        <v>0.41537333333333332</v>
      </c>
      <c r="T148" s="13">
        <v>31153</v>
      </c>
    </row>
    <row r="149" spans="1:20">
      <c r="A149" s="2">
        <v>148</v>
      </c>
      <c r="B149" s="9" t="s">
        <v>230</v>
      </c>
      <c r="C149" s="9" t="s">
        <v>5</v>
      </c>
      <c r="D149" s="9" t="s">
        <v>6</v>
      </c>
      <c r="E149" s="9" t="s">
        <v>7</v>
      </c>
      <c r="F149" s="9" t="s">
        <v>377</v>
      </c>
      <c r="G149" s="16">
        <v>2017</v>
      </c>
      <c r="H149" s="16" t="s">
        <v>13</v>
      </c>
      <c r="I149" s="20" t="s">
        <v>124</v>
      </c>
      <c r="J149" s="21" t="s">
        <v>421</v>
      </c>
      <c r="K149" s="7"/>
      <c r="L149" s="7"/>
      <c r="M149" s="13">
        <v>48767</v>
      </c>
      <c r="N149" s="7">
        <v>450</v>
      </c>
      <c r="O149" s="7">
        <v>30</v>
      </c>
      <c r="P149" s="7">
        <v>330</v>
      </c>
      <c r="Q149" s="7">
        <v>2</v>
      </c>
      <c r="R149" s="29">
        <f t="shared" si="5"/>
        <v>311.66666666666669</v>
      </c>
      <c r="S149" s="26">
        <f t="shared" si="4"/>
        <v>1.0047778210675252E-2</v>
      </c>
      <c r="T149" s="13">
        <v>490</v>
      </c>
    </row>
    <row r="150" spans="1:20">
      <c r="A150" s="2">
        <v>149</v>
      </c>
      <c r="B150" s="9" t="s">
        <v>230</v>
      </c>
      <c r="C150" s="9" t="s">
        <v>5</v>
      </c>
      <c r="D150" s="9" t="s">
        <v>6</v>
      </c>
      <c r="E150" s="9" t="s">
        <v>7</v>
      </c>
      <c r="F150" s="9" t="s">
        <v>249</v>
      </c>
      <c r="G150" s="16">
        <v>2019</v>
      </c>
      <c r="H150" s="16" t="s">
        <v>13</v>
      </c>
      <c r="I150" s="20" t="s">
        <v>248</v>
      </c>
      <c r="J150" s="21" t="s">
        <v>430</v>
      </c>
      <c r="K150" s="7"/>
      <c r="L150" s="7"/>
      <c r="M150" s="13">
        <v>63824</v>
      </c>
      <c r="N150" s="7">
        <v>450</v>
      </c>
      <c r="O150" s="7">
        <v>38</v>
      </c>
      <c r="P150" s="7">
        <v>260</v>
      </c>
      <c r="Q150" s="7">
        <v>5</v>
      </c>
      <c r="R150" s="29">
        <f t="shared" si="5"/>
        <v>223.88888888888889</v>
      </c>
      <c r="S150" s="26">
        <f t="shared" si="4"/>
        <v>0.14466344948608673</v>
      </c>
      <c r="T150" s="13">
        <v>9233</v>
      </c>
    </row>
    <row r="151" spans="1:20">
      <c r="A151" s="2">
        <v>150</v>
      </c>
      <c r="B151" s="9" t="s">
        <v>230</v>
      </c>
      <c r="C151" s="9" t="s">
        <v>12</v>
      </c>
      <c r="D151" s="9" t="s">
        <v>6</v>
      </c>
      <c r="E151" s="9" t="s">
        <v>7</v>
      </c>
      <c r="F151" s="9" t="s">
        <v>251</v>
      </c>
      <c r="G151" s="16">
        <v>2019</v>
      </c>
      <c r="H151" s="16" t="s">
        <v>18</v>
      </c>
      <c r="I151" s="20" t="s">
        <v>250</v>
      </c>
      <c r="J151" s="21" t="s">
        <v>421</v>
      </c>
      <c r="K151" s="7"/>
      <c r="L151" s="7"/>
      <c r="M151" s="13">
        <v>117000</v>
      </c>
      <c r="N151" s="7">
        <v>450</v>
      </c>
      <c r="O151" s="7">
        <v>46</v>
      </c>
      <c r="P151" s="7">
        <v>340</v>
      </c>
      <c r="Q151" s="7">
        <v>3</v>
      </c>
      <c r="R151" s="29">
        <f t="shared" si="5"/>
        <v>311.66666666666669</v>
      </c>
      <c r="S151" s="26">
        <f t="shared" si="4"/>
        <v>0</v>
      </c>
      <c r="T151" s="13">
        <v>0</v>
      </c>
    </row>
    <row r="152" spans="1:20">
      <c r="A152" s="2">
        <v>151</v>
      </c>
      <c r="B152" s="9" t="s">
        <v>230</v>
      </c>
      <c r="C152" s="9" t="s">
        <v>5</v>
      </c>
      <c r="D152" s="9" t="s">
        <v>6</v>
      </c>
      <c r="E152" s="9" t="s">
        <v>7</v>
      </c>
      <c r="F152" s="9" t="s">
        <v>253</v>
      </c>
      <c r="G152" s="16">
        <v>2021</v>
      </c>
      <c r="H152" s="16"/>
      <c r="I152" s="20" t="s">
        <v>252</v>
      </c>
      <c r="J152" s="21" t="s">
        <v>421</v>
      </c>
      <c r="K152" s="7"/>
      <c r="L152" s="7"/>
      <c r="M152" s="13">
        <v>41000</v>
      </c>
      <c r="N152" s="7">
        <v>370</v>
      </c>
      <c r="O152" s="7">
        <v>38</v>
      </c>
      <c r="P152" s="7">
        <v>230</v>
      </c>
      <c r="Q152" s="7">
        <v>4</v>
      </c>
      <c r="R152" s="29">
        <f t="shared" si="5"/>
        <v>204.44444444444446</v>
      </c>
      <c r="S152" s="26">
        <f t="shared" si="4"/>
        <v>0.11219512195121951</v>
      </c>
      <c r="T152" s="13">
        <v>4600</v>
      </c>
    </row>
    <row r="153" spans="1:20">
      <c r="A153" s="2">
        <v>152</v>
      </c>
      <c r="B153" s="9" t="s">
        <v>230</v>
      </c>
      <c r="C153" s="9" t="s">
        <v>5</v>
      </c>
      <c r="D153" s="9" t="s">
        <v>6</v>
      </c>
      <c r="E153" s="9" t="s">
        <v>7</v>
      </c>
      <c r="F153" s="9" t="s">
        <v>255</v>
      </c>
      <c r="G153" s="16">
        <v>2023</v>
      </c>
      <c r="H153" s="16" t="s">
        <v>18</v>
      </c>
      <c r="I153" s="20" t="s">
        <v>254</v>
      </c>
      <c r="J153" s="21" t="s">
        <v>430</v>
      </c>
      <c r="K153" s="7"/>
      <c r="L153" s="7"/>
      <c r="M153" s="13">
        <v>96446</v>
      </c>
      <c r="N153" s="7">
        <v>480</v>
      </c>
      <c r="O153" s="7">
        <v>35</v>
      </c>
      <c r="P153" s="7">
        <v>310</v>
      </c>
      <c r="Q153" s="7">
        <v>3</v>
      </c>
      <c r="R153" s="29">
        <f t="shared" si="5"/>
        <v>284.16666666666669</v>
      </c>
      <c r="S153" s="26">
        <f t="shared" si="4"/>
        <v>0.33490243244924622</v>
      </c>
      <c r="T153" s="13">
        <v>32300</v>
      </c>
    </row>
    <row r="154" spans="1:20">
      <c r="A154" s="2">
        <v>153</v>
      </c>
      <c r="B154" s="9" t="s">
        <v>257</v>
      </c>
      <c r="C154" s="9" t="s">
        <v>5</v>
      </c>
      <c r="D154" s="9" t="s">
        <v>6</v>
      </c>
      <c r="E154" s="9" t="s">
        <v>258</v>
      </c>
      <c r="F154" s="9" t="s">
        <v>259</v>
      </c>
      <c r="G154" s="16">
        <v>2018</v>
      </c>
      <c r="H154" s="16" t="s">
        <v>13</v>
      </c>
      <c r="I154" s="20" t="s">
        <v>256</v>
      </c>
      <c r="J154" s="21" t="s">
        <v>421</v>
      </c>
      <c r="K154" s="7"/>
      <c r="L154" s="7"/>
      <c r="M154" s="13">
        <v>76600</v>
      </c>
      <c r="N154" s="7">
        <v>220</v>
      </c>
      <c r="O154" s="7">
        <v>32</v>
      </c>
      <c r="P154" s="7">
        <v>160</v>
      </c>
      <c r="Q154" s="7">
        <v>6.5</v>
      </c>
      <c r="R154" s="29">
        <f t="shared" si="5"/>
        <v>131.11111111111111</v>
      </c>
      <c r="S154" s="26">
        <f t="shared" si="4"/>
        <v>0.24191906005221933</v>
      </c>
      <c r="T154" s="13">
        <v>18531</v>
      </c>
    </row>
    <row r="155" spans="1:20">
      <c r="A155" s="2">
        <v>154</v>
      </c>
      <c r="B155" s="9" t="s">
        <v>257</v>
      </c>
      <c r="C155" s="9" t="s">
        <v>5</v>
      </c>
      <c r="D155" s="9" t="s">
        <v>6</v>
      </c>
      <c r="E155" s="9" t="s">
        <v>258</v>
      </c>
      <c r="F155" s="9" t="s">
        <v>261</v>
      </c>
      <c r="G155" s="16">
        <v>2018</v>
      </c>
      <c r="H155" s="16" t="s">
        <v>13</v>
      </c>
      <c r="I155" s="20" t="s">
        <v>260</v>
      </c>
      <c r="J155" s="21" t="s">
        <v>424</v>
      </c>
      <c r="K155" s="7"/>
      <c r="L155" s="7"/>
      <c r="M155" s="13">
        <v>125569</v>
      </c>
      <c r="N155" s="7">
        <v>270</v>
      </c>
      <c r="O155" s="7">
        <v>33</v>
      </c>
      <c r="P155" s="7">
        <v>165</v>
      </c>
      <c r="Q155" s="7">
        <v>6</v>
      </c>
      <c r="R155" s="29">
        <f t="shared" si="5"/>
        <v>137.5</v>
      </c>
      <c r="S155" s="26">
        <f t="shared" si="4"/>
        <v>0.25245084375920807</v>
      </c>
      <c r="T155" s="13">
        <v>31700</v>
      </c>
    </row>
    <row r="156" spans="1:20">
      <c r="A156" s="2">
        <v>155</v>
      </c>
      <c r="B156" s="9" t="s">
        <v>257</v>
      </c>
      <c r="C156" s="9" t="s">
        <v>5</v>
      </c>
      <c r="D156" s="9" t="s">
        <v>6</v>
      </c>
      <c r="E156" s="9" t="s">
        <v>258</v>
      </c>
      <c r="F156" s="9" t="s">
        <v>263</v>
      </c>
      <c r="G156" s="16">
        <v>2019</v>
      </c>
      <c r="H156" s="16" t="s">
        <v>13</v>
      </c>
      <c r="I156" s="20" t="s">
        <v>262</v>
      </c>
      <c r="J156" s="21" t="s">
        <v>421</v>
      </c>
      <c r="K156" s="7"/>
      <c r="L156" s="7"/>
      <c r="M156" s="13">
        <v>51234</v>
      </c>
      <c r="N156" s="7">
        <v>190</v>
      </c>
      <c r="O156" s="7">
        <v>33</v>
      </c>
      <c r="P156" s="7">
        <v>140</v>
      </c>
      <c r="Q156" s="7">
        <v>5</v>
      </c>
      <c r="R156" s="29">
        <f t="shared" si="5"/>
        <v>120.55555555555556</v>
      </c>
      <c r="S156" s="26">
        <f t="shared" si="4"/>
        <v>7.9868837100363035E-2</v>
      </c>
      <c r="T156" s="13">
        <v>4092</v>
      </c>
    </row>
    <row r="157" spans="1:20">
      <c r="A157" s="2">
        <v>156</v>
      </c>
      <c r="B157" s="9" t="s">
        <v>257</v>
      </c>
      <c r="C157" s="9" t="s">
        <v>5</v>
      </c>
      <c r="D157" s="9" t="s">
        <v>6</v>
      </c>
      <c r="E157" s="9" t="s">
        <v>258</v>
      </c>
      <c r="F157" s="9" t="s">
        <v>265</v>
      </c>
      <c r="G157" s="16">
        <v>2019</v>
      </c>
      <c r="H157" s="16" t="s">
        <v>13</v>
      </c>
      <c r="I157" s="20" t="s">
        <v>264</v>
      </c>
      <c r="J157" s="21" t="s">
        <v>424</v>
      </c>
      <c r="K157" s="7"/>
      <c r="L157" s="7"/>
      <c r="M157" s="13">
        <v>123780</v>
      </c>
      <c r="N157" s="7">
        <v>200</v>
      </c>
      <c r="O157" s="7">
        <v>30</v>
      </c>
      <c r="P157" s="7">
        <v>135</v>
      </c>
      <c r="Q157" s="7">
        <v>3</v>
      </c>
      <c r="R157" s="29">
        <f t="shared" si="5"/>
        <v>123.75</v>
      </c>
      <c r="S157" s="26">
        <f t="shared" si="4"/>
        <v>0.12417999676846017</v>
      </c>
      <c r="T157" s="13">
        <v>15371</v>
      </c>
    </row>
    <row r="158" spans="1:20">
      <c r="A158" s="2">
        <v>157</v>
      </c>
      <c r="B158" s="9" t="s">
        <v>257</v>
      </c>
      <c r="C158" s="9" t="s">
        <v>5</v>
      </c>
      <c r="D158" s="9" t="s">
        <v>6</v>
      </c>
      <c r="E158" s="9" t="s">
        <v>258</v>
      </c>
      <c r="F158" s="9" t="s">
        <v>267</v>
      </c>
      <c r="G158" s="16">
        <v>2019</v>
      </c>
      <c r="H158" s="16"/>
      <c r="I158" s="20" t="s">
        <v>266</v>
      </c>
      <c r="J158" s="21" t="s">
        <v>423</v>
      </c>
      <c r="K158" s="7"/>
      <c r="L158" s="7"/>
      <c r="M158" s="13">
        <v>46000</v>
      </c>
      <c r="N158" s="7">
        <v>300</v>
      </c>
      <c r="O158" s="7">
        <v>33</v>
      </c>
      <c r="P158" s="7">
        <v>185</v>
      </c>
      <c r="Q158" s="7">
        <v>0</v>
      </c>
      <c r="R158" s="29">
        <f t="shared" si="5"/>
        <v>185</v>
      </c>
      <c r="S158" s="26">
        <f t="shared" si="4"/>
        <v>0</v>
      </c>
      <c r="T158" s="13">
        <v>0</v>
      </c>
    </row>
    <row r="159" spans="1:20">
      <c r="A159" s="2">
        <v>158</v>
      </c>
      <c r="B159" s="9" t="s">
        <v>257</v>
      </c>
      <c r="C159" s="9" t="s">
        <v>5</v>
      </c>
      <c r="D159" s="9" t="s">
        <v>6</v>
      </c>
      <c r="E159" s="9" t="s">
        <v>258</v>
      </c>
      <c r="F159" s="9" t="s">
        <v>269</v>
      </c>
      <c r="G159" s="16">
        <v>2018</v>
      </c>
      <c r="H159" s="16" t="s">
        <v>13</v>
      </c>
      <c r="I159" s="20" t="s">
        <v>268</v>
      </c>
      <c r="J159" s="21" t="s">
        <v>421</v>
      </c>
      <c r="K159" s="7"/>
      <c r="L159" s="7"/>
      <c r="M159" s="13">
        <v>35600</v>
      </c>
      <c r="N159" s="7">
        <v>220</v>
      </c>
      <c r="O159" s="7">
        <v>32</v>
      </c>
      <c r="P159" s="7">
        <v>170</v>
      </c>
      <c r="Q159" s="7">
        <v>5</v>
      </c>
      <c r="R159" s="29">
        <f t="shared" si="5"/>
        <v>146.38888888888889</v>
      </c>
      <c r="S159" s="26">
        <f t="shared" si="4"/>
        <v>0.12019662921348315</v>
      </c>
      <c r="T159" s="13">
        <v>4279</v>
      </c>
    </row>
    <row r="160" spans="1:20">
      <c r="A160" s="2">
        <v>159</v>
      </c>
      <c r="B160" s="9" t="s">
        <v>257</v>
      </c>
      <c r="C160" s="9" t="s">
        <v>5</v>
      </c>
      <c r="D160" s="9" t="s">
        <v>6</v>
      </c>
      <c r="E160" s="9" t="s">
        <v>258</v>
      </c>
      <c r="F160" s="9" t="s">
        <v>271</v>
      </c>
      <c r="G160" s="16">
        <v>2020</v>
      </c>
      <c r="H160" s="16" t="s">
        <v>18</v>
      </c>
      <c r="I160" s="20" t="s">
        <v>270</v>
      </c>
      <c r="J160" s="21" t="s">
        <v>424</v>
      </c>
      <c r="K160" s="7"/>
      <c r="L160" s="7"/>
      <c r="M160" s="13">
        <v>199950</v>
      </c>
      <c r="N160" s="7">
        <v>300</v>
      </c>
      <c r="O160" s="7">
        <v>32</v>
      </c>
      <c r="P160" s="7">
        <v>180</v>
      </c>
      <c r="Q160" s="7">
        <v>7</v>
      </c>
      <c r="R160" s="29">
        <f t="shared" si="5"/>
        <v>145</v>
      </c>
      <c r="S160" s="26">
        <f t="shared" si="4"/>
        <v>0.15003750937734434</v>
      </c>
      <c r="T160" s="13">
        <v>30000</v>
      </c>
    </row>
    <row r="161" spans="1:20">
      <c r="A161" s="2">
        <v>160</v>
      </c>
      <c r="B161" s="9" t="s">
        <v>257</v>
      </c>
      <c r="C161" s="9" t="s">
        <v>5</v>
      </c>
      <c r="D161" s="9" t="s">
        <v>6</v>
      </c>
      <c r="E161" s="9" t="s">
        <v>258</v>
      </c>
      <c r="F161" s="9" t="s">
        <v>273</v>
      </c>
      <c r="G161" s="16">
        <v>2021</v>
      </c>
      <c r="H161" s="16" t="s">
        <v>13</v>
      </c>
      <c r="I161" s="20" t="s">
        <v>272</v>
      </c>
      <c r="J161" s="21" t="s">
        <v>424</v>
      </c>
      <c r="K161" s="7"/>
      <c r="L161" s="7"/>
      <c r="M161" s="13">
        <v>108000</v>
      </c>
      <c r="N161" s="7">
        <v>270</v>
      </c>
      <c r="O161" s="7">
        <v>45</v>
      </c>
      <c r="P161" s="7">
        <v>160</v>
      </c>
      <c r="Q161" s="7">
        <v>5</v>
      </c>
      <c r="R161" s="29">
        <f t="shared" si="5"/>
        <v>137.77777777777777</v>
      </c>
      <c r="S161" s="26">
        <f t="shared" si="4"/>
        <v>0.18</v>
      </c>
      <c r="T161" s="13">
        <v>19440</v>
      </c>
    </row>
    <row r="162" spans="1:20">
      <c r="A162" s="2">
        <v>161</v>
      </c>
      <c r="B162" s="9" t="s">
        <v>257</v>
      </c>
      <c r="C162" s="9" t="s">
        <v>5</v>
      </c>
      <c r="D162" s="9" t="s">
        <v>6</v>
      </c>
      <c r="E162" s="9" t="s">
        <v>258</v>
      </c>
      <c r="F162" s="9" t="s">
        <v>275</v>
      </c>
      <c r="G162" s="16">
        <v>2021</v>
      </c>
      <c r="H162" s="16" t="s">
        <v>13</v>
      </c>
      <c r="I162" s="20" t="s">
        <v>274</v>
      </c>
      <c r="J162" s="21" t="s">
        <v>424</v>
      </c>
      <c r="K162" s="7"/>
      <c r="L162" s="7"/>
      <c r="M162" s="13">
        <v>142808</v>
      </c>
      <c r="N162" s="7">
        <v>240</v>
      </c>
      <c r="O162" s="7">
        <v>33</v>
      </c>
      <c r="P162" s="7">
        <v>170</v>
      </c>
      <c r="Q162" s="7">
        <v>9</v>
      </c>
      <c r="R162" s="29">
        <f t="shared" si="5"/>
        <v>127.5</v>
      </c>
      <c r="S162" s="26">
        <f t="shared" si="4"/>
        <v>7.1186488151924257E-2</v>
      </c>
      <c r="T162" s="13">
        <v>10166</v>
      </c>
    </row>
    <row r="163" spans="1:20">
      <c r="A163" s="2">
        <v>162</v>
      </c>
      <c r="B163" s="9" t="s">
        <v>257</v>
      </c>
      <c r="C163" s="9" t="s">
        <v>5</v>
      </c>
      <c r="D163" s="9" t="s">
        <v>6</v>
      </c>
      <c r="E163" s="9" t="s">
        <v>258</v>
      </c>
      <c r="F163" s="9" t="s">
        <v>277</v>
      </c>
      <c r="G163" s="16">
        <v>2021</v>
      </c>
      <c r="H163" s="16" t="s">
        <v>13</v>
      </c>
      <c r="I163" s="20" t="s">
        <v>276</v>
      </c>
      <c r="J163" s="21" t="s">
        <v>424</v>
      </c>
      <c r="K163" s="7"/>
      <c r="L163" s="7"/>
      <c r="M163" s="13">
        <v>80463</v>
      </c>
      <c r="N163" s="7">
        <v>210</v>
      </c>
      <c r="O163" s="7">
        <v>35</v>
      </c>
      <c r="P163" s="7">
        <v>150</v>
      </c>
      <c r="Q163" s="7">
        <v>6</v>
      </c>
      <c r="R163" s="29">
        <f t="shared" si="5"/>
        <v>125</v>
      </c>
      <c r="S163" s="26">
        <f t="shared" si="4"/>
        <v>0.11202664578750482</v>
      </c>
      <c r="T163" s="13">
        <v>9014</v>
      </c>
    </row>
    <row r="164" spans="1:20">
      <c r="A164" s="2">
        <v>163</v>
      </c>
      <c r="B164" s="9" t="s">
        <v>257</v>
      </c>
      <c r="C164" s="9" t="s">
        <v>5</v>
      </c>
      <c r="D164" s="9" t="s">
        <v>6</v>
      </c>
      <c r="E164" s="9" t="s">
        <v>258</v>
      </c>
      <c r="F164" s="9" t="s">
        <v>278</v>
      </c>
      <c r="G164" s="16">
        <v>2023</v>
      </c>
      <c r="H164" s="16" t="s">
        <v>18</v>
      </c>
      <c r="I164" s="22" t="s">
        <v>435</v>
      </c>
      <c r="J164" s="21" t="s">
        <v>421</v>
      </c>
      <c r="K164" s="7"/>
      <c r="L164" s="7"/>
      <c r="M164" s="13">
        <v>83000</v>
      </c>
      <c r="N164" s="7">
        <v>180</v>
      </c>
      <c r="O164" s="7">
        <v>26.9</v>
      </c>
      <c r="P164" s="7">
        <v>170</v>
      </c>
      <c r="Q164" s="7">
        <v>6</v>
      </c>
      <c r="R164" s="29">
        <f t="shared" si="5"/>
        <v>141.66666666666666</v>
      </c>
      <c r="S164" s="26">
        <f t="shared" si="4"/>
        <v>0.60361445783132528</v>
      </c>
      <c r="T164" s="13">
        <v>50100</v>
      </c>
    </row>
    <row r="165" spans="1:20">
      <c r="A165" s="2">
        <v>164</v>
      </c>
      <c r="B165" s="9" t="s">
        <v>257</v>
      </c>
      <c r="C165" s="9" t="s">
        <v>5</v>
      </c>
      <c r="D165" s="9" t="s">
        <v>6</v>
      </c>
      <c r="E165" s="9" t="s">
        <v>258</v>
      </c>
      <c r="F165" s="9" t="s">
        <v>280</v>
      </c>
      <c r="G165" s="16">
        <v>2024</v>
      </c>
      <c r="H165" s="16"/>
      <c r="I165" s="20" t="s">
        <v>279</v>
      </c>
      <c r="J165" s="21" t="s">
        <v>421</v>
      </c>
      <c r="K165" s="7"/>
      <c r="L165" s="7"/>
      <c r="M165" s="13">
        <v>129000</v>
      </c>
      <c r="N165" s="7"/>
      <c r="O165" s="7"/>
      <c r="P165" s="7">
        <v>210</v>
      </c>
      <c r="Q165" s="7">
        <v>7</v>
      </c>
      <c r="R165" s="29">
        <f t="shared" si="5"/>
        <v>169.16666666666666</v>
      </c>
      <c r="S165" s="26">
        <f t="shared" si="4"/>
        <v>0.39693023255813953</v>
      </c>
      <c r="T165" s="13">
        <v>51204</v>
      </c>
    </row>
    <row r="166" spans="1:20">
      <c r="A166" s="2">
        <v>165</v>
      </c>
      <c r="B166" s="9" t="s">
        <v>282</v>
      </c>
      <c r="C166" s="9" t="s">
        <v>5</v>
      </c>
      <c r="D166" s="9" t="s">
        <v>6</v>
      </c>
      <c r="E166" s="9" t="s">
        <v>81</v>
      </c>
      <c r="F166" s="9" t="s">
        <v>283</v>
      </c>
      <c r="G166" s="16">
        <v>2011</v>
      </c>
      <c r="H166" s="16" t="s">
        <v>13</v>
      </c>
      <c r="I166" s="20" t="s">
        <v>281</v>
      </c>
      <c r="J166" s="21" t="s">
        <v>421</v>
      </c>
      <c r="K166" s="7"/>
      <c r="L166" s="7"/>
      <c r="M166" s="13">
        <v>62209</v>
      </c>
      <c r="N166" s="7">
        <v>240</v>
      </c>
      <c r="O166" s="7">
        <v>27</v>
      </c>
      <c r="P166" s="7">
        <v>145</v>
      </c>
      <c r="Q166" s="7">
        <v>4</v>
      </c>
      <c r="R166" s="29">
        <f t="shared" si="5"/>
        <v>128.88888888888889</v>
      </c>
      <c r="S166" s="26">
        <f t="shared" si="4"/>
        <v>0.13806683920333071</v>
      </c>
      <c r="T166" s="13">
        <v>8589</v>
      </c>
    </row>
    <row r="167" spans="1:20">
      <c r="A167" s="2">
        <v>166</v>
      </c>
      <c r="B167" s="9" t="s">
        <v>282</v>
      </c>
      <c r="C167" s="9" t="s">
        <v>5</v>
      </c>
      <c r="D167" s="9" t="s">
        <v>6</v>
      </c>
      <c r="E167" s="9" t="s">
        <v>7</v>
      </c>
      <c r="F167" s="9" t="s">
        <v>285</v>
      </c>
      <c r="G167" s="16">
        <v>2015</v>
      </c>
      <c r="H167" s="16"/>
      <c r="I167" s="20" t="s">
        <v>284</v>
      </c>
      <c r="J167" s="21" t="s">
        <v>426</v>
      </c>
      <c r="K167" s="7"/>
      <c r="L167" s="7"/>
      <c r="M167" s="13">
        <v>36117</v>
      </c>
      <c r="N167" s="7">
        <v>220</v>
      </c>
      <c r="O167" s="7">
        <v>33</v>
      </c>
      <c r="P167" s="7">
        <v>155</v>
      </c>
      <c r="Q167" s="7">
        <v>3</v>
      </c>
      <c r="R167" s="29">
        <f t="shared" si="5"/>
        <v>142.08333333333334</v>
      </c>
      <c r="S167" s="26">
        <f t="shared" si="4"/>
        <v>0.24827643491984383</v>
      </c>
      <c r="T167" s="13">
        <v>8967</v>
      </c>
    </row>
    <row r="168" spans="1:20">
      <c r="A168" s="2">
        <v>167</v>
      </c>
      <c r="B168" s="9" t="s">
        <v>282</v>
      </c>
      <c r="C168" s="9" t="s">
        <v>5</v>
      </c>
      <c r="D168" s="9" t="s">
        <v>6</v>
      </c>
      <c r="E168" s="9" t="s">
        <v>60</v>
      </c>
      <c r="F168" s="9" t="s">
        <v>287</v>
      </c>
      <c r="G168" s="16">
        <v>2018</v>
      </c>
      <c r="H168" s="16" t="s">
        <v>18</v>
      </c>
      <c r="I168" s="20" t="s">
        <v>286</v>
      </c>
      <c r="J168" s="21" t="s">
        <v>426</v>
      </c>
      <c r="K168" s="7"/>
      <c r="L168" s="7"/>
      <c r="M168" s="13">
        <v>49900</v>
      </c>
      <c r="N168" s="7">
        <v>400</v>
      </c>
      <c r="O168" s="7">
        <v>32</v>
      </c>
      <c r="P168" s="7">
        <v>265</v>
      </c>
      <c r="Q168" s="7">
        <v>3</v>
      </c>
      <c r="R168" s="29">
        <f t="shared" si="5"/>
        <v>242.91666666666666</v>
      </c>
      <c r="S168" s="26">
        <f t="shared" si="4"/>
        <v>7.0000000000000007E-2</v>
      </c>
      <c r="T168" s="13">
        <v>3493</v>
      </c>
    </row>
    <row r="169" spans="1:20">
      <c r="A169" s="2">
        <v>168</v>
      </c>
      <c r="B169" s="9" t="s">
        <v>282</v>
      </c>
      <c r="C169" s="9" t="s">
        <v>5</v>
      </c>
      <c r="D169" s="9" t="s">
        <v>6</v>
      </c>
      <c r="E169" s="9" t="s">
        <v>60</v>
      </c>
      <c r="F169" s="9" t="s">
        <v>289</v>
      </c>
      <c r="G169" s="16">
        <v>2018</v>
      </c>
      <c r="H169" s="16" t="s">
        <v>13</v>
      </c>
      <c r="I169" s="20" t="s">
        <v>288</v>
      </c>
      <c r="J169" s="21" t="s">
        <v>426</v>
      </c>
      <c r="K169" s="7"/>
      <c r="L169" s="7"/>
      <c r="M169" s="13">
        <v>39000</v>
      </c>
      <c r="N169" s="7">
        <v>300</v>
      </c>
      <c r="O169" s="7">
        <v>32</v>
      </c>
      <c r="P169" s="7">
        <v>275</v>
      </c>
      <c r="Q169" s="7">
        <v>4</v>
      </c>
      <c r="R169" s="29">
        <f t="shared" si="5"/>
        <v>244.44444444444446</v>
      </c>
      <c r="S169" s="26">
        <f t="shared" si="4"/>
        <v>0.4358974358974359</v>
      </c>
      <c r="T169" s="13">
        <v>17000</v>
      </c>
    </row>
    <row r="170" spans="1:20">
      <c r="A170" s="2">
        <v>169</v>
      </c>
      <c r="B170" s="9" t="s">
        <v>282</v>
      </c>
      <c r="C170" s="9" t="s">
        <v>5</v>
      </c>
      <c r="D170" s="9" t="s">
        <v>6</v>
      </c>
      <c r="E170" s="9" t="s">
        <v>139</v>
      </c>
      <c r="F170" s="9" t="s">
        <v>291</v>
      </c>
      <c r="G170" s="16">
        <v>2019</v>
      </c>
      <c r="H170" s="16"/>
      <c r="I170" s="20" t="s">
        <v>290</v>
      </c>
      <c r="J170" s="21" t="s">
        <v>426</v>
      </c>
      <c r="K170" s="7"/>
      <c r="L170" s="7"/>
      <c r="M170" s="13">
        <v>49000</v>
      </c>
      <c r="N170" s="7">
        <v>330</v>
      </c>
      <c r="O170" s="7">
        <v>35</v>
      </c>
      <c r="P170" s="7">
        <v>235</v>
      </c>
      <c r="Q170" s="7">
        <v>0</v>
      </c>
      <c r="R170" s="29">
        <f t="shared" si="5"/>
        <v>235</v>
      </c>
      <c r="S170" s="26">
        <f t="shared" si="4"/>
        <v>2.7142857142857142E-2</v>
      </c>
      <c r="T170" s="13">
        <v>1330</v>
      </c>
    </row>
    <row r="171" spans="1:20">
      <c r="A171" s="2">
        <v>170</v>
      </c>
      <c r="B171" s="9" t="s">
        <v>282</v>
      </c>
      <c r="C171" s="9" t="s">
        <v>141</v>
      </c>
      <c r="D171" s="9" t="s">
        <v>6</v>
      </c>
      <c r="E171" s="9" t="s">
        <v>7</v>
      </c>
      <c r="F171" s="9" t="s">
        <v>293</v>
      </c>
      <c r="G171" s="16">
        <v>2018</v>
      </c>
      <c r="H171" s="16"/>
      <c r="I171" s="20" t="s">
        <v>292</v>
      </c>
      <c r="J171" s="21" t="s">
        <v>426</v>
      </c>
      <c r="K171" s="7"/>
      <c r="L171" s="7"/>
      <c r="M171" s="13">
        <v>59400</v>
      </c>
      <c r="N171" s="7">
        <v>210</v>
      </c>
      <c r="O171" s="7">
        <v>30</v>
      </c>
      <c r="P171" s="7">
        <v>180</v>
      </c>
      <c r="Q171" s="7">
        <v>4</v>
      </c>
      <c r="R171" s="29">
        <f t="shared" si="5"/>
        <v>160</v>
      </c>
      <c r="S171" s="26">
        <f t="shared" si="4"/>
        <v>0.30368686868686867</v>
      </c>
      <c r="T171" s="13">
        <v>18039</v>
      </c>
    </row>
    <row r="172" spans="1:20">
      <c r="A172" s="2">
        <v>171</v>
      </c>
      <c r="B172" s="9" t="s">
        <v>282</v>
      </c>
      <c r="C172" s="9" t="s">
        <v>5</v>
      </c>
      <c r="D172" s="9" t="s">
        <v>6</v>
      </c>
      <c r="E172" s="9" t="s">
        <v>7</v>
      </c>
      <c r="F172" s="9" t="s">
        <v>295</v>
      </c>
      <c r="G172" s="16">
        <v>2018</v>
      </c>
      <c r="H172" s="16" t="s">
        <v>13</v>
      </c>
      <c r="I172" s="20" t="s">
        <v>294</v>
      </c>
      <c r="J172" s="21" t="s">
        <v>426</v>
      </c>
      <c r="K172" s="7"/>
      <c r="L172" s="7"/>
      <c r="M172" s="13">
        <v>65000</v>
      </c>
      <c r="N172" s="7">
        <v>200</v>
      </c>
      <c r="O172" s="7">
        <v>28</v>
      </c>
      <c r="P172" s="7">
        <v>180</v>
      </c>
      <c r="Q172" s="7">
        <v>4</v>
      </c>
      <c r="R172" s="29">
        <f t="shared" si="5"/>
        <v>160</v>
      </c>
      <c r="S172" s="26">
        <f t="shared" si="4"/>
        <v>0.16195384615384614</v>
      </c>
      <c r="T172" s="13">
        <v>10527</v>
      </c>
    </row>
    <row r="173" spans="1:20">
      <c r="A173" s="2">
        <v>172</v>
      </c>
      <c r="B173" s="9" t="s">
        <v>282</v>
      </c>
      <c r="C173" s="9" t="s">
        <v>5</v>
      </c>
      <c r="D173" s="9" t="s">
        <v>6</v>
      </c>
      <c r="E173" s="9" t="s">
        <v>298</v>
      </c>
      <c r="F173" s="9" t="s">
        <v>299</v>
      </c>
      <c r="G173" s="16">
        <v>2020</v>
      </c>
      <c r="H173" s="16" t="s">
        <v>297</v>
      </c>
      <c r="I173" s="20" t="s">
        <v>296</v>
      </c>
      <c r="J173" s="21" t="s">
        <v>423</v>
      </c>
      <c r="K173" s="7"/>
      <c r="L173" s="7"/>
      <c r="M173" s="13">
        <v>47000</v>
      </c>
      <c r="N173" s="7">
        <v>122</v>
      </c>
      <c r="O173" s="7">
        <v>24</v>
      </c>
      <c r="P173" s="7">
        <v>95</v>
      </c>
      <c r="Q173" s="7">
        <v>3</v>
      </c>
      <c r="R173" s="29">
        <f t="shared" si="5"/>
        <v>87.083333333333329</v>
      </c>
      <c r="S173" s="26">
        <f t="shared" si="4"/>
        <v>0.05</v>
      </c>
      <c r="T173" s="13">
        <v>2350</v>
      </c>
    </row>
    <row r="174" spans="1:20">
      <c r="A174" s="2">
        <v>173</v>
      </c>
      <c r="B174" s="9" t="s">
        <v>282</v>
      </c>
      <c r="C174" s="9" t="s">
        <v>5</v>
      </c>
      <c r="D174" s="9" t="s">
        <v>6</v>
      </c>
      <c r="E174" s="9" t="s">
        <v>298</v>
      </c>
      <c r="F174" s="9" t="s">
        <v>301</v>
      </c>
      <c r="G174" s="16">
        <v>2016</v>
      </c>
      <c r="H174" s="16" t="s">
        <v>297</v>
      </c>
      <c r="I174" s="20" t="s">
        <v>300</v>
      </c>
      <c r="J174" s="21" t="s">
        <v>423</v>
      </c>
      <c r="K174" s="7"/>
      <c r="L174" s="7"/>
      <c r="M174" s="13">
        <v>29000</v>
      </c>
      <c r="N174" s="7">
        <v>120</v>
      </c>
      <c r="O174" s="7">
        <v>23</v>
      </c>
      <c r="P174" s="7">
        <v>95</v>
      </c>
      <c r="Q174" s="7">
        <v>3</v>
      </c>
      <c r="R174" s="29">
        <f t="shared" si="5"/>
        <v>87.083333333333329</v>
      </c>
      <c r="S174" s="26">
        <f t="shared" si="4"/>
        <v>0.12</v>
      </c>
      <c r="T174" s="13">
        <v>3480</v>
      </c>
    </row>
    <row r="175" spans="1:20">
      <c r="A175" s="2">
        <v>174</v>
      </c>
      <c r="B175" s="9" t="s">
        <v>282</v>
      </c>
      <c r="C175" s="9" t="s">
        <v>5</v>
      </c>
      <c r="D175" s="9" t="s">
        <v>6</v>
      </c>
      <c r="E175" s="9" t="s">
        <v>298</v>
      </c>
      <c r="F175" s="9" t="s">
        <v>381</v>
      </c>
      <c r="G175" s="16">
        <v>2021</v>
      </c>
      <c r="H175" s="16" t="s">
        <v>18</v>
      </c>
      <c r="I175" s="20" t="s">
        <v>302</v>
      </c>
      <c r="J175" s="21" t="s">
        <v>423</v>
      </c>
      <c r="K175" s="7"/>
      <c r="L175" s="7"/>
      <c r="M175" s="13">
        <v>132239</v>
      </c>
      <c r="N175" s="7">
        <v>158</v>
      </c>
      <c r="O175" s="7">
        <v>25</v>
      </c>
      <c r="P175" s="7">
        <v>95</v>
      </c>
      <c r="Q175" s="7">
        <v>3</v>
      </c>
      <c r="R175" s="29">
        <f t="shared" si="5"/>
        <v>87.083333333333329</v>
      </c>
      <c r="S175" s="26">
        <f t="shared" si="4"/>
        <v>0.21929990396176618</v>
      </c>
      <c r="T175" s="13">
        <v>29000</v>
      </c>
    </row>
    <row r="176" spans="1:20">
      <c r="A176" s="2">
        <v>175</v>
      </c>
      <c r="B176" s="9" t="s">
        <v>282</v>
      </c>
      <c r="C176" s="9" t="s">
        <v>5</v>
      </c>
      <c r="D176" s="9" t="s">
        <v>6</v>
      </c>
      <c r="E176" s="9" t="s">
        <v>298</v>
      </c>
      <c r="F176" s="9" t="s">
        <v>304</v>
      </c>
      <c r="G176" s="16">
        <v>2019</v>
      </c>
      <c r="H176" s="16" t="s">
        <v>13</v>
      </c>
      <c r="I176" s="20" t="s">
        <v>303</v>
      </c>
      <c r="J176" s="21" t="s">
        <v>423</v>
      </c>
      <c r="K176" s="7"/>
      <c r="L176" s="7"/>
      <c r="M176" s="13">
        <v>35016</v>
      </c>
      <c r="N176" s="7">
        <v>140</v>
      </c>
      <c r="O176" s="7">
        <v>26</v>
      </c>
      <c r="P176" s="7">
        <v>80</v>
      </c>
      <c r="Q176" s="7">
        <v>2</v>
      </c>
      <c r="R176" s="29">
        <f t="shared" si="5"/>
        <v>75.555555555555557</v>
      </c>
      <c r="S176" s="26">
        <f t="shared" si="4"/>
        <v>1</v>
      </c>
      <c r="T176" s="13">
        <v>35016</v>
      </c>
    </row>
    <row r="177" spans="1:20">
      <c r="A177" s="2">
        <v>176</v>
      </c>
      <c r="B177" s="9" t="s">
        <v>282</v>
      </c>
      <c r="C177" s="9" t="s">
        <v>5</v>
      </c>
      <c r="D177" s="9" t="s">
        <v>6</v>
      </c>
      <c r="E177" s="9" t="s">
        <v>60</v>
      </c>
      <c r="F177" s="9" t="s">
        <v>306</v>
      </c>
      <c r="G177" s="16">
        <v>2023</v>
      </c>
      <c r="H177" s="16"/>
      <c r="I177" s="20" t="s">
        <v>305</v>
      </c>
      <c r="J177" s="21" t="s">
        <v>423</v>
      </c>
      <c r="K177" s="7"/>
      <c r="L177" s="7"/>
      <c r="M177" s="13">
        <v>60000</v>
      </c>
      <c r="N177" s="7">
        <v>360</v>
      </c>
      <c r="O177" s="7">
        <v>28</v>
      </c>
      <c r="P177" s="7">
        <v>240</v>
      </c>
      <c r="Q177" s="7">
        <v>3</v>
      </c>
      <c r="R177" s="29">
        <f t="shared" si="5"/>
        <v>220</v>
      </c>
      <c r="S177" s="26">
        <f t="shared" si="4"/>
        <v>0.14026666666666668</v>
      </c>
      <c r="T177" s="13">
        <v>8416</v>
      </c>
    </row>
    <row r="178" spans="1:20">
      <c r="A178" s="2">
        <v>177</v>
      </c>
      <c r="B178" s="9" t="s">
        <v>282</v>
      </c>
      <c r="C178" s="9" t="s">
        <v>5</v>
      </c>
      <c r="D178" s="9" t="s">
        <v>6</v>
      </c>
      <c r="E178" s="9" t="s">
        <v>258</v>
      </c>
      <c r="F178" s="9" t="s">
        <v>308</v>
      </c>
      <c r="G178" s="16">
        <v>2023</v>
      </c>
      <c r="H178" s="16" t="s">
        <v>13</v>
      </c>
      <c r="I178" s="20" t="s">
        <v>307</v>
      </c>
      <c r="J178" s="21" t="s">
        <v>426</v>
      </c>
      <c r="K178" s="7"/>
      <c r="L178" s="7"/>
      <c r="M178" s="13">
        <v>90244</v>
      </c>
      <c r="N178" s="7">
        <v>240</v>
      </c>
      <c r="O178" s="7">
        <v>35</v>
      </c>
      <c r="P178" s="7">
        <v>135</v>
      </c>
      <c r="Q178" s="7">
        <v>7</v>
      </c>
      <c r="R178" s="29">
        <f t="shared" si="5"/>
        <v>108.75</v>
      </c>
      <c r="S178" s="26">
        <f t="shared" si="4"/>
        <v>0.15513496742165683</v>
      </c>
      <c r="T178" s="13">
        <v>14000</v>
      </c>
    </row>
    <row r="179" spans="1:20">
      <c r="A179" s="2">
        <v>178</v>
      </c>
      <c r="B179" s="9" t="s">
        <v>282</v>
      </c>
      <c r="C179" s="9" t="s">
        <v>5</v>
      </c>
      <c r="D179" s="9" t="s">
        <v>6</v>
      </c>
      <c r="E179" s="9" t="s">
        <v>258</v>
      </c>
      <c r="F179" s="9" t="s">
        <v>310</v>
      </c>
      <c r="G179" s="16">
        <v>2022</v>
      </c>
      <c r="H179" s="16"/>
      <c r="I179" s="20" t="s">
        <v>309</v>
      </c>
      <c r="J179" s="21" t="s">
        <v>423</v>
      </c>
      <c r="K179" s="7"/>
      <c r="L179" s="7"/>
      <c r="M179" s="13">
        <v>38700</v>
      </c>
      <c r="N179" s="7">
        <v>144</v>
      </c>
      <c r="O179" s="7">
        <v>30</v>
      </c>
      <c r="P179" s="7">
        <v>110</v>
      </c>
      <c r="Q179" s="7">
        <v>4</v>
      </c>
      <c r="R179" s="29">
        <f t="shared" si="5"/>
        <v>97.777777777777771</v>
      </c>
      <c r="S179" s="26">
        <f t="shared" si="4"/>
        <v>0.59204134366925065</v>
      </c>
      <c r="T179" s="13">
        <v>22912</v>
      </c>
    </row>
    <row r="180" spans="1:20">
      <c r="A180" s="2">
        <v>179</v>
      </c>
      <c r="B180" s="9" t="s">
        <v>282</v>
      </c>
      <c r="C180" s="9" t="s">
        <v>5</v>
      </c>
      <c r="D180" s="9" t="s">
        <v>6</v>
      </c>
      <c r="E180" s="9" t="s">
        <v>258</v>
      </c>
      <c r="F180" s="9" t="s">
        <v>359</v>
      </c>
      <c r="G180" s="16">
        <v>2023</v>
      </c>
      <c r="H180" s="16"/>
      <c r="I180" s="20" t="s">
        <v>311</v>
      </c>
      <c r="J180" s="21" t="s">
        <v>430</v>
      </c>
      <c r="K180" s="7"/>
      <c r="L180" s="7"/>
      <c r="M180" s="13">
        <v>62414</v>
      </c>
      <c r="N180" s="7">
        <v>360</v>
      </c>
      <c r="O180" s="7">
        <v>30</v>
      </c>
      <c r="P180" s="7">
        <v>235</v>
      </c>
      <c r="Q180" s="7">
        <v>3</v>
      </c>
      <c r="R180" s="29">
        <f t="shared" si="5"/>
        <v>215.41666666666666</v>
      </c>
      <c r="S180" s="26">
        <f t="shared" si="4"/>
        <v>0.25314833210497645</v>
      </c>
      <c r="T180" s="13">
        <v>15800</v>
      </c>
    </row>
    <row r="181" spans="1:20">
      <c r="A181" s="2">
        <v>180</v>
      </c>
      <c r="B181" s="9" t="s">
        <v>282</v>
      </c>
      <c r="C181" s="9" t="s">
        <v>5</v>
      </c>
      <c r="D181" s="9" t="s">
        <v>6</v>
      </c>
      <c r="E181" s="9" t="s">
        <v>298</v>
      </c>
      <c r="F181" s="9" t="s">
        <v>313</v>
      </c>
      <c r="G181" s="16">
        <v>2023</v>
      </c>
      <c r="H181" s="16" t="s">
        <v>13</v>
      </c>
      <c r="I181" s="20" t="s">
        <v>312</v>
      </c>
      <c r="J181" s="21" t="s">
        <v>423</v>
      </c>
      <c r="K181" s="7"/>
      <c r="L181" s="7"/>
      <c r="M181" s="13">
        <v>51000</v>
      </c>
      <c r="N181" s="7">
        <v>124</v>
      </c>
      <c r="O181" s="7">
        <v>28</v>
      </c>
      <c r="P181" s="7">
        <v>85</v>
      </c>
      <c r="Q181" s="7">
        <v>4</v>
      </c>
      <c r="R181" s="29">
        <f t="shared" si="5"/>
        <v>75.555555555555557</v>
      </c>
      <c r="S181" s="26">
        <f t="shared" si="4"/>
        <v>0.55000000000000004</v>
      </c>
      <c r="T181" s="13">
        <v>28050</v>
      </c>
    </row>
    <row r="182" spans="1:20">
      <c r="A182" s="2">
        <v>181</v>
      </c>
      <c r="B182" s="9" t="s">
        <v>282</v>
      </c>
      <c r="C182" s="9" t="s">
        <v>5</v>
      </c>
      <c r="D182" s="9" t="s">
        <v>6</v>
      </c>
      <c r="E182" s="9" t="s">
        <v>60</v>
      </c>
      <c r="F182" s="9" t="s">
        <v>315</v>
      </c>
      <c r="G182" s="16">
        <v>2024</v>
      </c>
      <c r="H182" s="16" t="s">
        <v>13</v>
      </c>
      <c r="I182" s="20" t="s">
        <v>314</v>
      </c>
      <c r="J182" s="21" t="s">
        <v>421</v>
      </c>
      <c r="K182" s="7"/>
      <c r="L182" s="7"/>
      <c r="M182" s="13">
        <v>53115</v>
      </c>
      <c r="N182" s="7">
        <v>517</v>
      </c>
      <c r="O182" s="7">
        <v>36</v>
      </c>
      <c r="P182" s="7">
        <v>350</v>
      </c>
      <c r="Q182" s="7">
        <v>5</v>
      </c>
      <c r="R182" s="29">
        <f t="shared" si="5"/>
        <v>301.38888888888891</v>
      </c>
      <c r="S182" s="26">
        <f t="shared" si="4"/>
        <v>0.1355549279864445</v>
      </c>
      <c r="T182" s="13">
        <v>7200</v>
      </c>
    </row>
    <row r="183" spans="1:20">
      <c r="A183" s="2">
        <v>182</v>
      </c>
      <c r="B183" s="9" t="s">
        <v>282</v>
      </c>
      <c r="C183" s="9" t="s">
        <v>5</v>
      </c>
      <c r="D183" s="9" t="s">
        <v>6</v>
      </c>
      <c r="E183" s="9" t="s">
        <v>258</v>
      </c>
      <c r="F183" s="9" t="s">
        <v>317</v>
      </c>
      <c r="G183" s="16">
        <v>2016</v>
      </c>
      <c r="H183" s="16"/>
      <c r="I183" s="20" t="s">
        <v>316</v>
      </c>
      <c r="J183" s="21" t="s">
        <v>421</v>
      </c>
      <c r="K183" s="7"/>
      <c r="L183" s="7"/>
      <c r="M183" s="13">
        <v>120000</v>
      </c>
      <c r="N183" s="7">
        <v>170</v>
      </c>
      <c r="O183" s="7">
        <v>27</v>
      </c>
      <c r="P183" s="7">
        <v>140</v>
      </c>
      <c r="Q183" s="7">
        <v>3</v>
      </c>
      <c r="R183" s="29">
        <f t="shared" si="5"/>
        <v>128.33333333333334</v>
      </c>
      <c r="S183" s="26">
        <f t="shared" si="4"/>
        <v>0.18333333333333332</v>
      </c>
      <c r="T183" s="13">
        <v>22000</v>
      </c>
    </row>
    <row r="184" spans="1:20">
      <c r="A184" s="2">
        <v>183</v>
      </c>
      <c r="B184" s="9" t="s">
        <v>282</v>
      </c>
      <c r="C184" s="9" t="s">
        <v>5</v>
      </c>
      <c r="D184" s="9" t="s">
        <v>6</v>
      </c>
      <c r="E184" s="9" t="s">
        <v>60</v>
      </c>
      <c r="F184" s="9" t="s">
        <v>358</v>
      </c>
      <c r="G184" s="16">
        <v>2025</v>
      </c>
      <c r="H184" s="16" t="s">
        <v>13</v>
      </c>
      <c r="I184" s="20" t="s">
        <v>318</v>
      </c>
      <c r="J184" s="21" t="s">
        <v>421</v>
      </c>
      <c r="K184" s="7"/>
      <c r="L184" s="7"/>
      <c r="M184" s="13">
        <v>66477</v>
      </c>
      <c r="N184" s="7">
        <v>360</v>
      </c>
      <c r="O184" s="7">
        <v>30</v>
      </c>
      <c r="P184" s="7">
        <v>290</v>
      </c>
      <c r="Q184" s="7">
        <v>3</v>
      </c>
      <c r="R184" s="29">
        <f t="shared" si="5"/>
        <v>265.83333333333331</v>
      </c>
      <c r="S184" s="26">
        <f t="shared" si="4"/>
        <v>0.90974321945936187</v>
      </c>
      <c r="T184" s="13">
        <v>60477</v>
      </c>
    </row>
    <row r="185" spans="1:20">
      <c r="A185" s="2">
        <v>184</v>
      </c>
      <c r="B185" s="9" t="s">
        <v>320</v>
      </c>
      <c r="C185" s="9" t="s">
        <v>5</v>
      </c>
      <c r="D185" s="9" t="s">
        <v>6</v>
      </c>
      <c r="E185" s="9" t="s">
        <v>321</v>
      </c>
      <c r="F185" s="9" t="s">
        <v>322</v>
      </c>
      <c r="G185" s="16">
        <v>2023</v>
      </c>
      <c r="H185" s="16" t="s">
        <v>13</v>
      </c>
      <c r="I185" s="20" t="s">
        <v>319</v>
      </c>
      <c r="J185" s="21" t="s">
        <v>421</v>
      </c>
      <c r="K185" s="7"/>
      <c r="L185" s="7"/>
      <c r="M185" s="13">
        <v>59300</v>
      </c>
      <c r="N185" s="7">
        <v>115</v>
      </c>
      <c r="O185" s="7">
        <v>32</v>
      </c>
      <c r="P185" s="7">
        <v>100</v>
      </c>
      <c r="Q185" s="7">
        <v>5</v>
      </c>
      <c r="R185" s="29">
        <f t="shared" si="5"/>
        <v>86.111111111111114</v>
      </c>
      <c r="S185" s="26">
        <f t="shared" si="4"/>
        <v>0.79089376053962901</v>
      </c>
      <c r="T185" s="13">
        <v>46900</v>
      </c>
    </row>
    <row r="186" spans="1:20">
      <c r="A186" s="2">
        <v>185</v>
      </c>
      <c r="B186" s="9" t="s">
        <v>320</v>
      </c>
      <c r="C186" s="9" t="s">
        <v>5</v>
      </c>
      <c r="D186" s="9" t="s">
        <v>6</v>
      </c>
      <c r="E186" s="9" t="s">
        <v>321</v>
      </c>
      <c r="F186" s="9" t="s">
        <v>324</v>
      </c>
      <c r="G186" s="16">
        <v>2018</v>
      </c>
      <c r="H186" s="16"/>
      <c r="I186" s="20" t="s">
        <v>323</v>
      </c>
      <c r="J186" s="21" t="s">
        <v>421</v>
      </c>
      <c r="K186" s="7"/>
      <c r="L186" s="7"/>
      <c r="M186" s="13">
        <v>44000</v>
      </c>
      <c r="N186" s="7">
        <v>105</v>
      </c>
      <c r="O186" s="7">
        <v>20</v>
      </c>
      <c r="P186" s="7">
        <v>90</v>
      </c>
      <c r="Q186" s="7">
        <v>4</v>
      </c>
      <c r="R186" s="29">
        <f t="shared" si="5"/>
        <v>80</v>
      </c>
      <c r="S186" s="26">
        <f t="shared" si="4"/>
        <v>0.45</v>
      </c>
      <c r="T186" s="13">
        <v>19800</v>
      </c>
    </row>
    <row r="187" spans="1:20">
      <c r="A187" s="2">
        <v>186</v>
      </c>
      <c r="B187" s="9" t="s">
        <v>320</v>
      </c>
      <c r="C187" s="9" t="s">
        <v>5</v>
      </c>
      <c r="D187" s="9" t="s">
        <v>6</v>
      </c>
      <c r="E187" s="9" t="s">
        <v>321</v>
      </c>
      <c r="F187" s="9" t="s">
        <v>326</v>
      </c>
      <c r="G187" s="16">
        <v>2018</v>
      </c>
      <c r="H187" s="16"/>
      <c r="I187" s="20" t="s">
        <v>325</v>
      </c>
      <c r="J187" s="21" t="s">
        <v>421</v>
      </c>
      <c r="K187" s="7"/>
      <c r="L187" s="7"/>
      <c r="M187" s="13">
        <v>26528</v>
      </c>
      <c r="N187" s="7">
        <v>105</v>
      </c>
      <c r="O187" s="7">
        <v>20</v>
      </c>
      <c r="P187" s="7">
        <v>92</v>
      </c>
      <c r="Q187" s="7">
        <v>3</v>
      </c>
      <c r="R187" s="29">
        <f t="shared" si="5"/>
        <v>84.333333333333329</v>
      </c>
      <c r="S187" s="26">
        <f t="shared" si="4"/>
        <v>0.33172496984318456</v>
      </c>
      <c r="T187" s="13">
        <v>8800</v>
      </c>
    </row>
    <row r="188" spans="1:20">
      <c r="A188" s="2">
        <v>187</v>
      </c>
      <c r="B188" s="9" t="s">
        <v>320</v>
      </c>
      <c r="C188" s="9" t="s">
        <v>5</v>
      </c>
      <c r="D188" s="9" t="s">
        <v>6</v>
      </c>
      <c r="E188" s="9" t="s">
        <v>321</v>
      </c>
      <c r="F188" s="9" t="s">
        <v>328</v>
      </c>
      <c r="G188" s="16">
        <v>2017</v>
      </c>
      <c r="H188" s="16" t="s">
        <v>13</v>
      </c>
      <c r="I188" s="20" t="s">
        <v>327</v>
      </c>
      <c r="J188" s="21" t="s">
        <v>421</v>
      </c>
      <c r="K188" s="7"/>
      <c r="L188" s="7"/>
      <c r="M188" s="13">
        <v>95684</v>
      </c>
      <c r="N188" s="7">
        <v>120</v>
      </c>
      <c r="O188" s="7">
        <v>31</v>
      </c>
      <c r="P188" s="7">
        <v>95</v>
      </c>
      <c r="Q188" s="7">
        <v>3</v>
      </c>
      <c r="R188" s="29">
        <f t="shared" si="5"/>
        <v>87.083333333333329</v>
      </c>
      <c r="S188" s="26">
        <f t="shared" si="4"/>
        <v>0.59571088165210484</v>
      </c>
      <c r="T188" s="13">
        <v>57000</v>
      </c>
    </row>
    <row r="189" spans="1:20">
      <c r="A189" s="2">
        <v>188</v>
      </c>
      <c r="B189" s="9" t="s">
        <v>320</v>
      </c>
      <c r="C189" s="9" t="s">
        <v>5</v>
      </c>
      <c r="D189" s="9" t="s">
        <v>6</v>
      </c>
      <c r="E189" s="11" t="s">
        <v>439</v>
      </c>
      <c r="F189" s="9" t="s">
        <v>351</v>
      </c>
      <c r="G189" s="16">
        <v>2021</v>
      </c>
      <c r="H189" s="16"/>
      <c r="I189" s="20" t="s">
        <v>350</v>
      </c>
      <c r="J189" s="21" t="s">
        <v>421</v>
      </c>
      <c r="K189" s="7"/>
      <c r="L189" s="7"/>
      <c r="M189" s="13">
        <v>26737</v>
      </c>
      <c r="N189" s="7">
        <v>120</v>
      </c>
      <c r="O189" s="7">
        <v>35</v>
      </c>
      <c r="P189" s="7">
        <v>98</v>
      </c>
      <c r="Q189" s="7">
        <v>3</v>
      </c>
      <c r="R189" s="29">
        <f t="shared" si="5"/>
        <v>89.833333333333329</v>
      </c>
      <c r="S189" s="26">
        <f t="shared" si="4"/>
        <v>0.40019448704043087</v>
      </c>
      <c r="T189" s="13">
        <v>10700</v>
      </c>
    </row>
    <row r="190" spans="1:20">
      <c r="A190" s="2">
        <v>189</v>
      </c>
      <c r="B190" s="9" t="s">
        <v>320</v>
      </c>
      <c r="C190" s="9" t="s">
        <v>5</v>
      </c>
      <c r="D190" s="9" t="s">
        <v>6</v>
      </c>
      <c r="E190" s="9" t="s">
        <v>321</v>
      </c>
      <c r="F190" s="9" t="s">
        <v>329</v>
      </c>
      <c r="G190" s="16">
        <v>2023</v>
      </c>
      <c r="H190" s="16" t="s">
        <v>13</v>
      </c>
      <c r="I190" s="20" t="s">
        <v>413</v>
      </c>
      <c r="J190" s="21" t="s">
        <v>421</v>
      </c>
      <c r="K190" s="7"/>
      <c r="L190" s="7"/>
      <c r="M190" s="13">
        <v>60000</v>
      </c>
      <c r="N190" s="7">
        <v>120</v>
      </c>
      <c r="O190" s="7">
        <v>32</v>
      </c>
      <c r="P190" s="7">
        <v>90</v>
      </c>
      <c r="Q190" s="7">
        <v>3</v>
      </c>
      <c r="R190" s="29">
        <f t="shared" si="5"/>
        <v>82.5</v>
      </c>
      <c r="S190" s="26">
        <f t="shared" si="4"/>
        <v>0.5</v>
      </c>
      <c r="T190" s="13">
        <v>30000</v>
      </c>
    </row>
    <row r="191" spans="1:20">
      <c r="A191" s="2">
        <v>190</v>
      </c>
      <c r="B191" s="9" t="s">
        <v>320</v>
      </c>
      <c r="C191" s="9" t="s">
        <v>5</v>
      </c>
      <c r="D191" s="9" t="s">
        <v>6</v>
      </c>
      <c r="E191" s="9" t="s">
        <v>321</v>
      </c>
      <c r="F191" s="9" t="s">
        <v>331</v>
      </c>
      <c r="G191" s="16">
        <v>2019</v>
      </c>
      <c r="H191" s="16"/>
      <c r="I191" s="20" t="s">
        <v>330</v>
      </c>
      <c r="J191" s="21" t="s">
        <v>421</v>
      </c>
      <c r="K191" s="7"/>
      <c r="L191" s="7"/>
      <c r="M191" s="13">
        <v>34895</v>
      </c>
      <c r="N191" s="7">
        <v>90</v>
      </c>
      <c r="O191" s="7">
        <v>30</v>
      </c>
      <c r="P191" s="7">
        <v>90</v>
      </c>
      <c r="Q191" s="7">
        <v>5</v>
      </c>
      <c r="R191" s="29">
        <f t="shared" si="5"/>
        <v>77.5</v>
      </c>
      <c r="S191" s="26">
        <f t="shared" si="4"/>
        <v>0.45278693222524719</v>
      </c>
      <c r="T191" s="13">
        <v>15800</v>
      </c>
    </row>
    <row r="192" spans="1:20">
      <c r="A192" s="2">
        <v>191</v>
      </c>
      <c r="B192" s="9" t="s">
        <v>320</v>
      </c>
      <c r="C192" s="9" t="s">
        <v>5</v>
      </c>
      <c r="D192" s="9" t="s">
        <v>6</v>
      </c>
      <c r="E192" s="9" t="s">
        <v>321</v>
      </c>
      <c r="F192" s="9" t="s">
        <v>385</v>
      </c>
      <c r="G192" s="16">
        <v>2022</v>
      </c>
      <c r="H192" s="16" t="s">
        <v>13</v>
      </c>
      <c r="I192" s="20" t="s">
        <v>384</v>
      </c>
      <c r="J192" s="21" t="s">
        <v>421</v>
      </c>
      <c r="K192" s="7"/>
      <c r="L192" s="7"/>
      <c r="M192" s="13">
        <v>76210</v>
      </c>
      <c r="N192" s="7">
        <v>105</v>
      </c>
      <c r="O192" s="7">
        <v>35</v>
      </c>
      <c r="P192" s="7">
        <v>95</v>
      </c>
      <c r="Q192" s="7">
        <v>4</v>
      </c>
      <c r="R192" s="29">
        <f t="shared" si="5"/>
        <v>84.444444444444443</v>
      </c>
      <c r="S192" s="26">
        <f t="shared" si="4"/>
        <v>0.38052748983073087</v>
      </c>
      <c r="T192" s="13">
        <v>29000</v>
      </c>
    </row>
  </sheetData>
  <autoFilter ref="A1:T192" xr:uid="{7B280671-4AFA-4641-88D4-A51F39483890}"/>
  <phoneticPr fontId="2" type="noConversion"/>
  <pageMargins left="0.7" right="0.7" top="0.75" bottom="0.75" header="0.3" footer="0.3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DF04A4-B1B1-41AA-8B8F-7B3121EE77BB}">
  <dimension ref="A1:B1"/>
  <sheetViews>
    <sheetView workbookViewId="0">
      <selection activeCell="B3" sqref="B3"/>
    </sheetView>
  </sheetViews>
  <sheetFormatPr defaultRowHeight="14.4"/>
  <cols>
    <col min="1" max="1" width="23.109375" bestFit="1" customWidth="1"/>
    <col min="2" max="2" width="23.6640625" bestFit="1" customWidth="1"/>
  </cols>
  <sheetData>
    <row r="1" spans="1:2">
      <c r="A1" t="s">
        <v>438</v>
      </c>
      <c r="B1" s="24" t="s">
        <v>437</v>
      </c>
    </row>
  </sheetData>
  <phoneticPr fontId="2" type="noConversion"/>
  <hyperlinks>
    <hyperlink ref="B1" r:id="rId1" display="https://lbs.amap.com/tools/picker" xr:uid="{008CC24E-077E-420B-BCEF-B2B560B89A2E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C605E6093A30A479FED397EFA867E40" ma:contentTypeVersion="19" ma:contentTypeDescription="Create a new document." ma:contentTypeScope="" ma:versionID="55774fc2038cb4dae8fef12431c133f2">
  <xsd:schema xmlns:xsd="http://www.w3.org/2001/XMLSchema" xmlns:xs="http://www.w3.org/2001/XMLSchema" xmlns:p="http://schemas.microsoft.com/office/2006/metadata/properties" xmlns:ns2="f655991e-a262-4cc2-969f-4b8d0db6a5de" xmlns:ns3="8e40a7e4-94f1-4b05-8c7e-c5111c724f9a" targetNamespace="http://schemas.microsoft.com/office/2006/metadata/properties" ma:root="true" ma:fieldsID="31482a63ce11ed8a627351d2502cc05d" ns2:_="" ns3:_="">
    <xsd:import namespace="f655991e-a262-4cc2-969f-4b8d0db6a5de"/>
    <xsd:import namespace="8e40a7e4-94f1-4b05-8c7e-c5111c724f9a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3:MediaServiceAuto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DateTaken" minOccurs="0"/>
                <xsd:element ref="ns3:MediaServiceLocation" minOccurs="0"/>
                <xsd:element ref="ns3:lcf76f155ced4ddcb4097134ff3c332f" minOccurs="0"/>
                <xsd:element ref="ns2:TaxCatchAll" minOccurs="0"/>
                <xsd:element ref="ns3:MediaLengthInSeconds" minOccurs="0"/>
                <xsd:element ref="ns3:MediaServiceObjectDetectorVersions" minOccurs="0"/>
                <xsd:element ref="ns3:MediaServiceSearchProperties" minOccurs="0"/>
                <xsd:element ref="ns3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55991e-a262-4cc2-969f-4b8d0db6a5de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8f2ff732-98c2-48c5-8f70-155633f64b93}" ma:internalName="TaxCatchAll" ma:showField="CatchAllData" ma:web="f655991e-a262-4cc2-969f-4b8d0db6a5d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e40a7e4-94f1-4b05-8c7e-c5111c724f9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2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3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8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9" nillable="true" ma:displayName="Location" ma:internalName="MediaServiceLocation" ma:readOnly="true">
      <xsd:simpleType>
        <xsd:restriction base="dms:Text"/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7ce671e0-2aae-4c8d-b367-8bb3494c1b0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LengthInSeconds" ma:index="23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24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8e40a7e4-94f1-4b05-8c7e-c5111c724f9a">
      <Terms xmlns="http://schemas.microsoft.com/office/infopath/2007/PartnerControls"/>
    </lcf76f155ced4ddcb4097134ff3c332f>
    <TaxCatchAll xmlns="f655991e-a262-4cc2-969f-4b8d0db6a5de" xsi:nil="true"/>
  </documentManagement>
</p:properties>
</file>

<file path=customXml/itemProps1.xml><?xml version="1.0" encoding="utf-8"?>
<ds:datastoreItem xmlns:ds="http://schemas.openxmlformats.org/officeDocument/2006/customXml" ds:itemID="{F5BF42E8-7CD6-44A5-B028-608DFC16227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55991e-a262-4cc2-969f-4b8d0db6a5de"/>
    <ds:schemaRef ds:uri="8e40a7e4-94f1-4b05-8c7e-c5111c724f9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C7A7DD6C-B285-4C23-BA8C-7CCC252AB8AB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CF6E6A69-6D48-49BB-9E8E-5B96C2738B7E}">
  <ds:schemaRefs>
    <ds:schemaRef ds:uri="http://schemas.microsoft.com/office/2006/metadata/properties"/>
    <ds:schemaRef ds:uri="http://schemas.microsoft.com/office/infopath/2007/PartnerControls"/>
    <ds:schemaRef ds:uri="8e40a7e4-94f1-4b05-8c7e-c5111c724f9a"/>
    <ds:schemaRef ds:uri="f655991e-a262-4cc2-969f-4b8d0db6a5de"/>
  </ds:schemaRefs>
</ds:datastoreItem>
</file>

<file path=docMetadata/LabelInfo.xml><?xml version="1.0" encoding="utf-8"?>
<clbl:labelList xmlns:clbl="http://schemas.microsoft.com/office/2020/mipLabelMetadata">
  <clbl:label id="{8c970d48-f7b9-48b0-9606-072fbefb514d}" enabled="1" method="Standard" siteId="{049e3382-8cdc-477b-9317-951b04689668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Gao, Cassie</cp:lastModifiedBy>
  <dcterms:created xsi:type="dcterms:W3CDTF">2026-01-06T16:25:00Z</dcterms:created>
  <dcterms:modified xsi:type="dcterms:W3CDTF">2026-03-17T01:40:12Z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B2C2E2AD39C5219674CF5C69CE208E9D_43</vt:lpwstr>
  </property>
  <property fmtid="{D5CDD505-2E9C-101B-9397-08002B2CF9AE}" pid="3" name="KSOProductBuildVer">
    <vt:lpwstr>2052-12.1.24031.24031</vt:lpwstr>
  </property>
  <property fmtid="{D5CDD505-2E9C-101B-9397-08002B2CF9AE}" pid="4" name="CalculationRule">
    <vt:i4>0</vt:i4>
  </property>
  <property fmtid="{D5CDD505-2E9C-101B-9397-08002B2CF9AE}" pid="5" name="ContentTypeId">
    <vt:lpwstr>0x010100BC605E6093A30A479FED397EFA867E40</vt:lpwstr>
  </property>
  <property fmtid="{D5CDD505-2E9C-101B-9397-08002B2CF9AE}" pid="6" name="MediaServiceImageTags">
    <vt:lpwstr/>
  </property>
</Properties>
</file>